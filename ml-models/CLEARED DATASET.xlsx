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ul\Documents\GitHub\Smart-Tea-monitoring-and-decition-support-System\ml-models\"/>
    </mc:Choice>
  </mc:AlternateContent>
  <xr:revisionPtr revIDLastSave="0" documentId="13_ncr:1_{9D1E9AAC-D862-421C-83CB-E6FA90DF96F5}" xr6:coauthVersionLast="47" xr6:coauthVersionMax="47" xr10:uidLastSave="{00000000-0000-0000-0000-000000000000}"/>
  <bookViews>
    <workbookView xWindow="-108" yWindow="-108" windowWidth="23256" windowHeight="12576" xr2:uid="{CFBACFB3-8F9A-45BD-9202-B77697DCE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1" i="1" l="1"/>
  <c r="D174" i="1"/>
  <c r="E99" i="1"/>
  <c r="E42" i="1"/>
</calcChain>
</file>

<file path=xl/sharedStrings.xml><?xml version="1.0" encoding="utf-8"?>
<sst xmlns="http://schemas.openxmlformats.org/spreadsheetml/2006/main" count="399" uniqueCount="27">
  <si>
    <t xml:space="preserve">YEAR </t>
  </si>
  <si>
    <t>MONTH</t>
  </si>
  <si>
    <t>GREEN LEAF</t>
  </si>
  <si>
    <t>PLUCKERS</t>
  </si>
  <si>
    <t>TEMPERATURE AVR</t>
  </si>
  <si>
    <t>RAINFALL AVR</t>
  </si>
  <si>
    <t>HUMADITY AVR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</si>
  <si>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</si>
  <si>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</si>
  <si>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</si>
  <si>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</si>
  <si>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</si>
  <si>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</si>
  <si>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</si>
  <si>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</si>
  <si>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</si>
  <si>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</si>
  <si>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</si>
  <si>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</si>
  <si>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RANGALA</t>
  </si>
  <si>
    <t>DEVISION</t>
  </si>
  <si>
    <t>POODELGODDA</t>
  </si>
  <si>
    <t>RANWELLA</t>
  </si>
  <si>
    <t xml:space="preserve">NEW DIVISION </t>
  </si>
  <si>
    <t>KALDURIYA</t>
  </si>
  <si>
    <t xml:space="preserve">PERU DIVISION </t>
  </si>
  <si>
    <t>NDVI 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</si>
</sst>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52C7-2360-4B5D-905D-9C627E3A8A11}">
  <dimension ref="A1:I361"/>
  <sheetViews>
    <sheetView tabSelected="1" topLeftCell="A334" zoomScale="65" zoomScaleNormal="85" workbookViewId="0">
      <selection activeCell="K9" sqref="K9"/>
    </sheetView>
  </sheetViews>
  <sheetFormatPr defaultRowHeight="14.4" x14ac:dyDescent="0.3"/>
  <cols>
    <col min="2" max="2" width="17.44140625" customWidth="1"/>
    <col min="3" max="3" width="11.5546875" customWidth="1"/>
    <col min="4" max="4" width="14.77734375" customWidth="1"/>
    <col min="5" max="5" width="12.5546875" customWidth="1"/>
    <col min="6" max="6" width="18" customWidth="1"/>
    <col min="7" max="7" width="14" customWidth="1"/>
    <col min="8" max="8" width="15.109375" customWidth="1"/>
    <col min="9" max="9" width="11" customWidth="1"/>
  </cols>
  <sheetData>
    <row r="1" spans="1:9" x14ac:dyDescent="0.3">
      <c r="A1" s="3" t="s">
        <v>0</v>
      </c>
      <c r="B1" s="3" t="s">
        <v>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26</v>
      </c>
    </row>
    <row r="2" spans="1:9" x14ac:dyDescent="0.3">
      <c r="A2" s="2">
        <v>2021</v>
      </c>
      <c r="B2" s="2" t="s">
        <v>19</v>
      </c>
      <c r="C2" s="1" t="s">
        <v>7</v>
      </c>
      <c r="D2" s="1">
        <v>6215</v>
      </c>
      <c r="E2" s="1">
        <v>222.5</v>
      </c>
      <c r="F2">
        <v>21.15</v>
      </c>
      <c r="G2">
        <v>6.46</v>
      </c>
      <c r="H2">
        <v>91.58</v>
      </c>
      <c r="I2">
        <v>0.63880000000000003</v>
      </c>
    </row>
    <row r="3" spans="1:9" x14ac:dyDescent="0.3">
      <c r="A3" s="2"/>
      <c r="B3" s="2"/>
      <c r="C3" s="1" t="s">
        <v>8</v>
      </c>
      <c r="D3" s="1">
        <v>8505</v>
      </c>
      <c r="E3" s="1">
        <v>250</v>
      </c>
      <c r="F3">
        <v>21.31</v>
      </c>
      <c r="G3">
        <v>2.0499999999999998</v>
      </c>
      <c r="H3">
        <v>88.04</v>
      </c>
      <c r="I3">
        <v>0.83599999999999997</v>
      </c>
    </row>
    <row r="4" spans="1:9" x14ac:dyDescent="0.3">
      <c r="A4" s="2"/>
      <c r="B4" s="2"/>
      <c r="C4" s="1" t="s">
        <v>9</v>
      </c>
      <c r="D4" s="1">
        <v>11647</v>
      </c>
      <c r="E4" s="1">
        <v>356</v>
      </c>
      <c r="F4">
        <v>22.02</v>
      </c>
      <c r="G4">
        <v>3.16</v>
      </c>
      <c r="H4">
        <v>85.84</v>
      </c>
      <c r="I4">
        <v>0.79079999999999995</v>
      </c>
    </row>
    <row r="5" spans="1:9" x14ac:dyDescent="0.3">
      <c r="A5" s="2"/>
      <c r="B5" s="2"/>
      <c r="C5" s="1" t="s">
        <v>10</v>
      </c>
      <c r="D5" s="1">
        <v>12443</v>
      </c>
      <c r="E5" s="1">
        <v>355</v>
      </c>
      <c r="F5">
        <v>23.23</v>
      </c>
      <c r="G5">
        <v>4.6100000000000003</v>
      </c>
      <c r="H5">
        <v>83.5</v>
      </c>
      <c r="I5">
        <v>0.86060000000000003</v>
      </c>
    </row>
    <row r="6" spans="1:9" x14ac:dyDescent="0.3">
      <c r="A6" s="2"/>
      <c r="B6" s="2"/>
      <c r="C6" s="1" t="s">
        <v>11</v>
      </c>
      <c r="D6" s="1">
        <v>10357</v>
      </c>
      <c r="E6" s="1">
        <v>383</v>
      </c>
      <c r="F6">
        <v>23.16</v>
      </c>
      <c r="G6">
        <v>7.39</v>
      </c>
      <c r="H6">
        <v>87.58</v>
      </c>
      <c r="I6">
        <v>0.72099999999999997</v>
      </c>
    </row>
    <row r="7" spans="1:9" x14ac:dyDescent="0.3">
      <c r="A7" s="2"/>
      <c r="B7" s="2"/>
      <c r="C7" s="1" t="s">
        <v>12</v>
      </c>
      <c r="D7" s="1">
        <v>7783</v>
      </c>
      <c r="E7" s="1">
        <v>275</v>
      </c>
      <c r="F7">
        <v>22.77</v>
      </c>
      <c r="G7">
        <v>2.94</v>
      </c>
      <c r="H7">
        <v>84.97</v>
      </c>
      <c r="I7">
        <v>0.79920000000000002</v>
      </c>
    </row>
    <row r="8" spans="1:9" x14ac:dyDescent="0.3">
      <c r="A8" s="2"/>
      <c r="B8" s="2"/>
      <c r="C8" s="1" t="s">
        <v>13</v>
      </c>
      <c r="D8" s="1">
        <v>7785</v>
      </c>
      <c r="E8" s="1">
        <v>231</v>
      </c>
      <c r="F8">
        <v>22.76</v>
      </c>
      <c r="G8">
        <v>3.48</v>
      </c>
      <c r="H8">
        <v>84.68</v>
      </c>
      <c r="I8">
        <v>0.80100000000000005</v>
      </c>
    </row>
    <row r="9" spans="1:9" x14ac:dyDescent="0.3">
      <c r="A9" s="2"/>
      <c r="B9" s="2"/>
      <c r="C9" s="1" t="s">
        <v>14</v>
      </c>
      <c r="D9" s="1">
        <v>6812</v>
      </c>
      <c r="E9" s="1">
        <v>188</v>
      </c>
      <c r="F9">
        <v>22.55</v>
      </c>
      <c r="G9">
        <v>2.5299999999999998</v>
      </c>
      <c r="H9">
        <v>84.06</v>
      </c>
      <c r="I9">
        <v>0.81440000000000001</v>
      </c>
    </row>
    <row r="10" spans="1:9" x14ac:dyDescent="0.3">
      <c r="A10" s="2"/>
      <c r="B10" s="2"/>
      <c r="C10" s="1" t="s">
        <v>15</v>
      </c>
      <c r="D10" s="1">
        <v>6680</v>
      </c>
      <c r="E10" s="1">
        <v>184</v>
      </c>
      <c r="F10">
        <v>22.77</v>
      </c>
      <c r="G10">
        <v>2.56</v>
      </c>
      <c r="H10">
        <v>84.4</v>
      </c>
      <c r="I10">
        <v>0.85470000000000002</v>
      </c>
    </row>
    <row r="11" spans="1:9" x14ac:dyDescent="0.3">
      <c r="A11" s="2"/>
      <c r="B11" s="2"/>
      <c r="C11" s="1" t="s">
        <v>16</v>
      </c>
      <c r="D11" s="1">
        <v>8263</v>
      </c>
      <c r="E11" s="1">
        <v>220</v>
      </c>
      <c r="F11">
        <v>22.33</v>
      </c>
      <c r="G11">
        <v>8.18</v>
      </c>
      <c r="H11">
        <v>87.35</v>
      </c>
      <c r="I11">
        <v>0.94510000000000005</v>
      </c>
    </row>
    <row r="12" spans="1:9" x14ac:dyDescent="0.3">
      <c r="A12" s="2"/>
      <c r="B12" s="2"/>
      <c r="C12" s="1" t="s">
        <v>17</v>
      </c>
      <c r="D12" s="1">
        <v>5618</v>
      </c>
      <c r="E12" s="1">
        <v>131</v>
      </c>
      <c r="F12">
        <v>21.55</v>
      </c>
      <c r="G12">
        <v>9.85</v>
      </c>
      <c r="H12">
        <v>91.07</v>
      </c>
      <c r="I12">
        <v>0.63629999999999998</v>
      </c>
    </row>
    <row r="13" spans="1:9" x14ac:dyDescent="0.3">
      <c r="A13" s="2"/>
      <c r="B13" s="2"/>
      <c r="C13" s="1" t="s">
        <v>18</v>
      </c>
      <c r="D13" s="1">
        <v>8282</v>
      </c>
      <c r="E13" s="1">
        <v>223</v>
      </c>
      <c r="F13">
        <v>21.36</v>
      </c>
      <c r="G13">
        <v>3.25</v>
      </c>
      <c r="H13">
        <v>88.74</v>
      </c>
      <c r="I13">
        <v>0.87919999999999998</v>
      </c>
    </row>
    <row r="14" spans="1:9" x14ac:dyDescent="0.3">
      <c r="A14" s="2"/>
      <c r="B14" s="2" t="s">
        <v>21</v>
      </c>
      <c r="C14" s="1" t="s">
        <v>7</v>
      </c>
      <c r="D14" s="1">
        <v>4500</v>
      </c>
      <c r="E14" s="1">
        <v>226</v>
      </c>
      <c r="F14">
        <v>21.15</v>
      </c>
      <c r="G14">
        <v>6.46</v>
      </c>
      <c r="H14">
        <v>91.58</v>
      </c>
      <c r="I14">
        <v>0.63880000000000003</v>
      </c>
    </row>
    <row r="15" spans="1:9" x14ac:dyDescent="0.3">
      <c r="A15" s="2"/>
      <c r="B15" s="2"/>
      <c r="C15" s="1" t="s">
        <v>8</v>
      </c>
      <c r="D15" s="1">
        <v>6877</v>
      </c>
      <c r="E15" s="1">
        <v>346</v>
      </c>
      <c r="F15">
        <v>21.31</v>
      </c>
      <c r="G15">
        <v>2.0499999999999998</v>
      </c>
      <c r="H15">
        <v>88.04</v>
      </c>
      <c r="I15">
        <v>0.83599999999999997</v>
      </c>
    </row>
    <row r="16" spans="1:9" x14ac:dyDescent="0.3">
      <c r="A16" s="2"/>
      <c r="B16" s="2"/>
      <c r="C16" s="1" t="s">
        <v>9</v>
      </c>
      <c r="D16" s="1">
        <v>9356</v>
      </c>
      <c r="E16" s="1">
        <v>451</v>
      </c>
      <c r="F16">
        <v>22.02</v>
      </c>
      <c r="G16">
        <v>3.16</v>
      </c>
      <c r="H16">
        <v>85.84</v>
      </c>
      <c r="I16">
        <v>0.79079999999999995</v>
      </c>
    </row>
    <row r="17" spans="1:9" x14ac:dyDescent="0.3">
      <c r="A17" s="2"/>
      <c r="B17" s="2"/>
      <c r="C17" s="1" t="s">
        <v>10</v>
      </c>
      <c r="D17" s="1">
        <v>11194</v>
      </c>
      <c r="E17" s="1">
        <v>458</v>
      </c>
      <c r="F17">
        <v>23.23</v>
      </c>
      <c r="G17">
        <v>4.6100000000000003</v>
      </c>
      <c r="H17">
        <v>83.5</v>
      </c>
      <c r="I17">
        <v>0.86060000000000003</v>
      </c>
    </row>
    <row r="18" spans="1:9" x14ac:dyDescent="0.3">
      <c r="A18" s="2"/>
      <c r="B18" s="2"/>
      <c r="C18" s="1" t="s">
        <v>11</v>
      </c>
      <c r="D18" s="1">
        <v>9130</v>
      </c>
      <c r="E18" s="1">
        <v>390</v>
      </c>
      <c r="F18">
        <v>23.16</v>
      </c>
      <c r="G18">
        <v>7.39</v>
      </c>
      <c r="H18">
        <v>87.58</v>
      </c>
      <c r="I18">
        <v>0.72099999999999997</v>
      </c>
    </row>
    <row r="19" spans="1:9" x14ac:dyDescent="0.3">
      <c r="A19" s="2"/>
      <c r="B19" s="2"/>
      <c r="C19" s="1" t="s">
        <v>12</v>
      </c>
      <c r="D19" s="1">
        <v>6983</v>
      </c>
      <c r="E19" s="1">
        <v>314</v>
      </c>
      <c r="F19">
        <v>22.77</v>
      </c>
      <c r="G19">
        <v>2.94</v>
      </c>
      <c r="H19">
        <v>84.97</v>
      </c>
      <c r="I19">
        <v>0.79920000000000002</v>
      </c>
    </row>
    <row r="20" spans="1:9" x14ac:dyDescent="0.3">
      <c r="A20" s="2"/>
      <c r="B20" s="2"/>
      <c r="C20" s="1" t="s">
        <v>13</v>
      </c>
      <c r="D20" s="1">
        <v>7940</v>
      </c>
      <c r="E20" s="1">
        <v>375</v>
      </c>
      <c r="F20">
        <v>22.76</v>
      </c>
      <c r="G20">
        <v>3.48</v>
      </c>
      <c r="H20">
        <v>84.68</v>
      </c>
      <c r="I20">
        <v>0.80100000000000005</v>
      </c>
    </row>
    <row r="21" spans="1:9" x14ac:dyDescent="0.3">
      <c r="A21" s="2"/>
      <c r="B21" s="2"/>
      <c r="C21" s="1" t="s">
        <v>14</v>
      </c>
      <c r="D21" s="1">
        <v>6309</v>
      </c>
      <c r="E21" s="1">
        <v>288</v>
      </c>
      <c r="F21">
        <v>22.55</v>
      </c>
      <c r="G21">
        <v>2.5299999999999998</v>
      </c>
      <c r="H21">
        <v>84.06</v>
      </c>
      <c r="I21">
        <v>0.81440000000000001</v>
      </c>
    </row>
    <row r="22" spans="1:9" x14ac:dyDescent="0.3">
      <c r="A22" s="2"/>
      <c r="B22" s="2"/>
      <c r="C22" s="1" t="s">
        <v>15</v>
      </c>
      <c r="D22" s="1">
        <v>5669</v>
      </c>
      <c r="E22" s="1">
        <v>255</v>
      </c>
      <c r="F22">
        <v>22.77</v>
      </c>
      <c r="G22">
        <v>2.56</v>
      </c>
      <c r="H22">
        <v>84.4</v>
      </c>
      <c r="I22">
        <v>0.85470000000000002</v>
      </c>
    </row>
    <row r="23" spans="1:9" x14ac:dyDescent="0.3">
      <c r="A23" s="2"/>
      <c r="B23" s="2"/>
      <c r="C23" s="1" t="s">
        <v>16</v>
      </c>
      <c r="D23" s="1">
        <v>6461</v>
      </c>
      <c r="E23" s="1">
        <v>265</v>
      </c>
      <c r="F23">
        <v>22.33</v>
      </c>
      <c r="G23">
        <v>8.18</v>
      </c>
      <c r="H23">
        <v>87.35</v>
      </c>
      <c r="I23">
        <v>0.94510000000000005</v>
      </c>
    </row>
    <row r="24" spans="1:9" x14ac:dyDescent="0.3">
      <c r="A24" s="2"/>
      <c r="B24" s="2"/>
      <c r="C24" s="1" t="s">
        <v>17</v>
      </c>
      <c r="D24" s="1">
        <v>6120</v>
      </c>
      <c r="E24" s="1">
        <v>269</v>
      </c>
      <c r="F24">
        <v>21.55</v>
      </c>
      <c r="G24">
        <v>9.85</v>
      </c>
      <c r="H24">
        <v>91.07</v>
      </c>
      <c r="I24">
        <v>0.63629999999999998</v>
      </c>
    </row>
    <row r="25" spans="1:9" x14ac:dyDescent="0.3">
      <c r="A25" s="2"/>
      <c r="B25" s="2"/>
      <c r="C25" s="1" t="s">
        <v>18</v>
      </c>
      <c r="D25" s="1">
        <v>4732</v>
      </c>
      <c r="E25" s="1">
        <v>231</v>
      </c>
      <c r="F25">
        <v>21.36</v>
      </c>
      <c r="G25">
        <v>3.25</v>
      </c>
      <c r="H25">
        <v>88.74</v>
      </c>
      <c r="I25">
        <v>0.87919999999999998</v>
      </c>
    </row>
    <row r="26" spans="1:9" x14ac:dyDescent="0.3">
      <c r="A26" s="2"/>
      <c r="B26" s="2" t="s">
        <v>22</v>
      </c>
      <c r="C26" s="1" t="s">
        <v>7</v>
      </c>
      <c r="D26" s="1">
        <v>9065</v>
      </c>
      <c r="E26" s="1">
        <v>361</v>
      </c>
      <c r="F26">
        <v>21.15</v>
      </c>
      <c r="G26">
        <v>6.46</v>
      </c>
      <c r="H26">
        <v>91.58</v>
      </c>
      <c r="I26">
        <v>0.63880000000000003</v>
      </c>
    </row>
    <row r="27" spans="1:9" x14ac:dyDescent="0.3">
      <c r="A27" s="2"/>
      <c r="B27" s="2"/>
      <c r="C27" s="1" t="s">
        <v>8</v>
      </c>
      <c r="D27" s="1">
        <v>11007</v>
      </c>
      <c r="E27" s="1">
        <v>404</v>
      </c>
      <c r="F27">
        <v>21.31</v>
      </c>
      <c r="G27">
        <v>2.0499999999999998</v>
      </c>
      <c r="H27">
        <v>88.04</v>
      </c>
      <c r="I27">
        <v>0.83599999999999997</v>
      </c>
    </row>
    <row r="28" spans="1:9" x14ac:dyDescent="0.3">
      <c r="A28" s="2"/>
      <c r="B28" s="2"/>
      <c r="C28" s="1" t="s">
        <v>9</v>
      </c>
      <c r="D28" s="1">
        <v>15907</v>
      </c>
      <c r="E28" s="1">
        <v>641.5</v>
      </c>
      <c r="F28">
        <v>22.02</v>
      </c>
      <c r="G28">
        <v>3.16</v>
      </c>
      <c r="H28">
        <v>85.84</v>
      </c>
      <c r="I28">
        <v>0.79079999999999995</v>
      </c>
    </row>
    <row r="29" spans="1:9" x14ac:dyDescent="0.3">
      <c r="A29" s="2"/>
      <c r="B29" s="2"/>
      <c r="C29" s="1" t="s">
        <v>10</v>
      </c>
      <c r="D29" s="1">
        <v>16277</v>
      </c>
      <c r="E29" s="1">
        <v>426.5</v>
      </c>
      <c r="F29">
        <v>23.23</v>
      </c>
      <c r="G29">
        <v>4.6100000000000003</v>
      </c>
      <c r="H29">
        <v>83.5</v>
      </c>
      <c r="I29">
        <v>0.86060000000000003</v>
      </c>
    </row>
    <row r="30" spans="1:9" x14ac:dyDescent="0.3">
      <c r="A30" s="2"/>
      <c r="B30" s="2"/>
      <c r="C30" s="1" t="s">
        <v>11</v>
      </c>
      <c r="D30" s="1">
        <v>18147</v>
      </c>
      <c r="E30" s="1">
        <v>588</v>
      </c>
      <c r="F30">
        <v>23.16</v>
      </c>
      <c r="G30">
        <v>7.39</v>
      </c>
      <c r="H30">
        <v>87.58</v>
      </c>
      <c r="I30">
        <v>0.72099999999999997</v>
      </c>
    </row>
    <row r="31" spans="1:9" x14ac:dyDescent="0.3">
      <c r="A31" s="2"/>
      <c r="B31" s="2"/>
      <c r="C31" s="1" t="s">
        <v>12</v>
      </c>
      <c r="D31" s="1">
        <v>14820</v>
      </c>
      <c r="E31" s="1">
        <v>554.5</v>
      </c>
      <c r="F31">
        <v>22.77</v>
      </c>
      <c r="G31">
        <v>2.94</v>
      </c>
      <c r="H31">
        <v>84.97</v>
      </c>
      <c r="I31">
        <v>0.79920000000000002</v>
      </c>
    </row>
    <row r="32" spans="1:9" x14ac:dyDescent="0.3">
      <c r="A32" s="2"/>
      <c r="B32" s="2"/>
      <c r="C32" s="1" t="s">
        <v>13</v>
      </c>
      <c r="D32" s="1">
        <v>11112</v>
      </c>
      <c r="E32" s="1">
        <v>457</v>
      </c>
      <c r="F32">
        <v>22.76</v>
      </c>
      <c r="G32">
        <v>3.48</v>
      </c>
      <c r="H32">
        <v>84.68</v>
      </c>
      <c r="I32">
        <v>0.80100000000000005</v>
      </c>
    </row>
    <row r="33" spans="1:9" x14ac:dyDescent="0.3">
      <c r="A33" s="2"/>
      <c r="B33" s="2"/>
      <c r="C33" s="1" t="s">
        <v>14</v>
      </c>
      <c r="D33" s="1">
        <v>10652</v>
      </c>
      <c r="E33" s="1">
        <v>440.5</v>
      </c>
      <c r="F33">
        <v>22.55</v>
      </c>
      <c r="G33">
        <v>2.5299999999999998</v>
      </c>
      <c r="H33">
        <v>84.06</v>
      </c>
      <c r="I33">
        <v>0.81440000000000001</v>
      </c>
    </row>
    <row r="34" spans="1:9" x14ac:dyDescent="0.3">
      <c r="A34" s="2"/>
      <c r="B34" s="2"/>
      <c r="C34" s="1" t="s">
        <v>15</v>
      </c>
      <c r="D34" s="1">
        <v>6411</v>
      </c>
      <c r="E34" s="1">
        <v>293.5</v>
      </c>
      <c r="F34">
        <v>22.77</v>
      </c>
      <c r="G34">
        <v>2.56</v>
      </c>
      <c r="H34">
        <v>84.4</v>
      </c>
      <c r="I34">
        <v>0.85470000000000002</v>
      </c>
    </row>
    <row r="35" spans="1:9" x14ac:dyDescent="0.3">
      <c r="A35" s="2"/>
      <c r="B35" s="2"/>
      <c r="C35" s="1" t="s">
        <v>16</v>
      </c>
      <c r="D35" s="1">
        <v>14284</v>
      </c>
      <c r="E35" s="1">
        <v>495.5</v>
      </c>
      <c r="F35">
        <v>22.33</v>
      </c>
      <c r="G35">
        <v>8.18</v>
      </c>
      <c r="H35">
        <v>87.35</v>
      </c>
      <c r="I35">
        <v>0.94510000000000005</v>
      </c>
    </row>
    <row r="36" spans="1:9" x14ac:dyDescent="0.3">
      <c r="A36" s="2"/>
      <c r="B36" s="2"/>
      <c r="C36" s="1" t="s">
        <v>17</v>
      </c>
      <c r="D36" s="1">
        <v>6865</v>
      </c>
      <c r="E36" s="1">
        <v>301.5</v>
      </c>
      <c r="F36">
        <v>21.55</v>
      </c>
      <c r="G36">
        <v>9.85</v>
      </c>
      <c r="H36">
        <v>91.07</v>
      </c>
      <c r="I36">
        <v>0.63629999999999998</v>
      </c>
    </row>
    <row r="37" spans="1:9" x14ac:dyDescent="0.3">
      <c r="A37" s="2"/>
      <c r="B37" s="2"/>
      <c r="C37" s="1" t="s">
        <v>18</v>
      </c>
      <c r="D37" s="1">
        <v>11133</v>
      </c>
      <c r="E37" s="1">
        <v>459.5</v>
      </c>
      <c r="F37">
        <v>21.36</v>
      </c>
      <c r="G37">
        <v>3.25</v>
      </c>
      <c r="H37">
        <v>88.74</v>
      </c>
      <c r="I37">
        <v>0.87919999999999998</v>
      </c>
    </row>
    <row r="38" spans="1:9" x14ac:dyDescent="0.3">
      <c r="A38" s="2"/>
      <c r="B38" s="2" t="s">
        <v>23</v>
      </c>
      <c r="C38" s="1" t="s">
        <v>7</v>
      </c>
      <c r="D38" s="1">
        <v>6286</v>
      </c>
      <c r="E38" s="1">
        <v>236</v>
      </c>
      <c r="F38">
        <v>21.15</v>
      </c>
      <c r="G38">
        <v>6.46</v>
      </c>
      <c r="H38">
        <v>91.58</v>
      </c>
      <c r="I38">
        <v>0.63880000000000003</v>
      </c>
    </row>
    <row r="39" spans="1:9" x14ac:dyDescent="0.3">
      <c r="A39" s="2"/>
      <c r="B39" s="2"/>
      <c r="C39" s="1" t="s">
        <v>8</v>
      </c>
      <c r="D39" s="1">
        <v>7765</v>
      </c>
      <c r="E39" s="1">
        <v>242</v>
      </c>
      <c r="F39">
        <v>21.31</v>
      </c>
      <c r="G39">
        <v>2.0499999999999998</v>
      </c>
      <c r="H39">
        <v>88.04</v>
      </c>
      <c r="I39">
        <v>0.83599999999999997</v>
      </c>
    </row>
    <row r="40" spans="1:9" x14ac:dyDescent="0.3">
      <c r="A40" s="2"/>
      <c r="B40" s="2"/>
      <c r="C40" s="1" t="s">
        <v>9</v>
      </c>
      <c r="D40" s="1">
        <v>12679</v>
      </c>
      <c r="E40" s="1">
        <v>384</v>
      </c>
      <c r="F40">
        <v>22.02</v>
      </c>
      <c r="G40">
        <v>3.16</v>
      </c>
      <c r="H40">
        <v>85.84</v>
      </c>
      <c r="I40">
        <v>0.79079999999999995</v>
      </c>
    </row>
    <row r="41" spans="1:9" x14ac:dyDescent="0.3">
      <c r="A41" s="2"/>
      <c r="B41" s="2"/>
      <c r="C41" s="1" t="s">
        <v>10</v>
      </c>
      <c r="D41" s="1">
        <v>12486</v>
      </c>
      <c r="E41" s="1">
        <v>295</v>
      </c>
      <c r="F41">
        <v>23.23</v>
      </c>
      <c r="G41">
        <v>4.6100000000000003</v>
      </c>
      <c r="H41">
        <v>83.5</v>
      </c>
      <c r="I41">
        <v>0.86060000000000003</v>
      </c>
    </row>
    <row r="42" spans="1:9" x14ac:dyDescent="0.3">
      <c r="A42" s="2"/>
      <c r="B42" s="2"/>
      <c r="C42" s="1" t="s">
        <v>11</v>
      </c>
      <c r="D42" s="1">
        <v>12109</v>
      </c>
      <c r="E42" s="1">
        <f>363.15</f>
        <v>363.15</v>
      </c>
      <c r="F42">
        <v>23.16</v>
      </c>
      <c r="G42">
        <v>7.39</v>
      </c>
      <c r="H42">
        <v>87.58</v>
      </c>
      <c r="I42">
        <v>0.72099999999999997</v>
      </c>
    </row>
    <row r="43" spans="1:9" x14ac:dyDescent="0.3">
      <c r="A43" s="2"/>
      <c r="B43" s="2"/>
      <c r="C43" s="1" t="s">
        <v>12</v>
      </c>
      <c r="D43" s="1">
        <v>6520</v>
      </c>
      <c r="E43" s="1">
        <v>255</v>
      </c>
      <c r="F43">
        <v>22.77</v>
      </c>
      <c r="G43">
        <v>2.94</v>
      </c>
      <c r="H43">
        <v>84.97</v>
      </c>
      <c r="I43">
        <v>0.79920000000000002</v>
      </c>
    </row>
    <row r="44" spans="1:9" x14ac:dyDescent="0.3">
      <c r="A44" s="2"/>
      <c r="B44" s="2"/>
      <c r="C44" s="1" t="s">
        <v>13</v>
      </c>
      <c r="D44" s="1">
        <v>8005</v>
      </c>
      <c r="E44" s="1">
        <v>280</v>
      </c>
      <c r="F44">
        <v>22.76</v>
      </c>
      <c r="G44">
        <v>3.48</v>
      </c>
      <c r="H44">
        <v>84.68</v>
      </c>
      <c r="I44">
        <v>0.80100000000000005</v>
      </c>
    </row>
    <row r="45" spans="1:9" x14ac:dyDescent="0.3">
      <c r="A45" s="2"/>
      <c r="B45" s="2"/>
      <c r="C45" s="1" t="s">
        <v>14</v>
      </c>
      <c r="D45" s="1">
        <v>6297</v>
      </c>
      <c r="E45" s="1">
        <v>207</v>
      </c>
      <c r="F45">
        <v>22.55</v>
      </c>
      <c r="G45">
        <v>2.5299999999999998</v>
      </c>
      <c r="H45">
        <v>84.06</v>
      </c>
      <c r="I45">
        <v>0.81440000000000001</v>
      </c>
    </row>
    <row r="46" spans="1:9" x14ac:dyDescent="0.3">
      <c r="A46" s="2"/>
      <c r="B46" s="2"/>
      <c r="C46" s="1" t="s">
        <v>15</v>
      </c>
      <c r="D46" s="1">
        <v>4535</v>
      </c>
      <c r="E46" s="1">
        <v>190</v>
      </c>
      <c r="F46">
        <v>22.77</v>
      </c>
      <c r="G46">
        <v>2.56</v>
      </c>
      <c r="H46">
        <v>84.4</v>
      </c>
      <c r="I46">
        <v>0.85470000000000002</v>
      </c>
    </row>
    <row r="47" spans="1:9" x14ac:dyDescent="0.3">
      <c r="A47" s="2"/>
      <c r="B47" s="2"/>
      <c r="C47" s="1" t="s">
        <v>16</v>
      </c>
      <c r="D47" s="1">
        <v>8788</v>
      </c>
      <c r="E47" s="1">
        <v>312</v>
      </c>
      <c r="F47">
        <v>22.33</v>
      </c>
      <c r="G47">
        <v>8.18</v>
      </c>
      <c r="H47">
        <v>87.35</v>
      </c>
      <c r="I47">
        <v>0.94510000000000005</v>
      </c>
    </row>
    <row r="48" spans="1:9" x14ac:dyDescent="0.3">
      <c r="A48" s="2"/>
      <c r="B48" s="2"/>
      <c r="C48" s="1" t="s">
        <v>17</v>
      </c>
      <c r="D48" s="1">
        <v>5262</v>
      </c>
      <c r="E48" s="1">
        <v>195</v>
      </c>
      <c r="F48">
        <v>21.55</v>
      </c>
      <c r="G48">
        <v>9.85</v>
      </c>
      <c r="H48">
        <v>91.07</v>
      </c>
      <c r="I48">
        <v>0.63629999999999998</v>
      </c>
    </row>
    <row r="49" spans="1:9" x14ac:dyDescent="0.3">
      <c r="A49" s="2"/>
      <c r="B49" s="2"/>
      <c r="C49" s="1" t="s">
        <v>18</v>
      </c>
      <c r="D49" s="1">
        <v>8950</v>
      </c>
      <c r="E49" s="1">
        <v>314</v>
      </c>
      <c r="F49">
        <v>21.36</v>
      </c>
      <c r="G49">
        <v>3.25</v>
      </c>
      <c r="H49">
        <v>88.74</v>
      </c>
      <c r="I49">
        <v>0.87919999999999998</v>
      </c>
    </row>
    <row r="50" spans="1:9" x14ac:dyDescent="0.3">
      <c r="A50" s="2"/>
      <c r="B50" s="2" t="s">
        <v>24</v>
      </c>
      <c r="C50" s="1" t="s">
        <v>7</v>
      </c>
      <c r="D50" s="1">
        <v>5619</v>
      </c>
      <c r="E50" s="1">
        <v>274</v>
      </c>
      <c r="F50">
        <v>21.15</v>
      </c>
      <c r="G50">
        <v>6.46</v>
      </c>
      <c r="H50">
        <v>91.58</v>
      </c>
      <c r="I50">
        <v>0.63880000000000003</v>
      </c>
    </row>
    <row r="51" spans="1:9" x14ac:dyDescent="0.3">
      <c r="A51" s="2"/>
      <c r="B51" s="2"/>
      <c r="C51" s="1" t="s">
        <v>8</v>
      </c>
      <c r="D51" s="1">
        <v>10543</v>
      </c>
      <c r="E51" s="1">
        <v>418</v>
      </c>
      <c r="F51">
        <v>21.31</v>
      </c>
      <c r="G51">
        <v>2.0499999999999998</v>
      </c>
      <c r="H51">
        <v>88.04</v>
      </c>
      <c r="I51">
        <v>0.83599999999999997</v>
      </c>
    </row>
    <row r="52" spans="1:9" x14ac:dyDescent="0.3">
      <c r="A52" s="2"/>
      <c r="B52" s="2"/>
      <c r="C52" s="1" t="s">
        <v>9</v>
      </c>
      <c r="D52" s="1">
        <v>15534</v>
      </c>
      <c r="E52" s="1">
        <v>607</v>
      </c>
      <c r="F52">
        <v>22.02</v>
      </c>
      <c r="G52">
        <v>3.16</v>
      </c>
      <c r="H52">
        <v>85.84</v>
      </c>
      <c r="I52">
        <v>0.79079999999999995</v>
      </c>
    </row>
    <row r="53" spans="1:9" x14ac:dyDescent="0.3">
      <c r="A53" s="2"/>
      <c r="B53" s="2"/>
      <c r="C53" s="1" t="s">
        <v>10</v>
      </c>
      <c r="D53" s="1">
        <v>16118</v>
      </c>
      <c r="E53" s="1">
        <v>435</v>
      </c>
      <c r="F53">
        <v>23.23</v>
      </c>
      <c r="G53">
        <v>4.6100000000000003</v>
      </c>
      <c r="H53">
        <v>83.5</v>
      </c>
      <c r="I53">
        <v>0.86060000000000003</v>
      </c>
    </row>
    <row r="54" spans="1:9" x14ac:dyDescent="0.3">
      <c r="A54" s="2"/>
      <c r="B54" s="2"/>
      <c r="C54" s="1" t="s">
        <v>11</v>
      </c>
      <c r="D54" s="1">
        <v>20136</v>
      </c>
      <c r="E54" s="1">
        <v>603</v>
      </c>
      <c r="F54">
        <v>23.16</v>
      </c>
      <c r="G54">
        <v>7.39</v>
      </c>
      <c r="H54">
        <v>87.58</v>
      </c>
      <c r="I54">
        <v>0.72099999999999997</v>
      </c>
    </row>
    <row r="55" spans="1:9" x14ac:dyDescent="0.3">
      <c r="A55" s="2"/>
      <c r="B55" s="2"/>
      <c r="C55" s="1" t="s">
        <v>12</v>
      </c>
      <c r="D55" s="1">
        <v>9179</v>
      </c>
      <c r="E55" s="1">
        <v>426</v>
      </c>
      <c r="F55">
        <v>22.77</v>
      </c>
      <c r="G55">
        <v>2.94</v>
      </c>
      <c r="H55">
        <v>84.97</v>
      </c>
      <c r="I55">
        <v>0.79920000000000002</v>
      </c>
    </row>
    <row r="56" spans="1:9" x14ac:dyDescent="0.3">
      <c r="A56" s="2"/>
      <c r="B56" s="2"/>
      <c r="C56" s="1" t="s">
        <v>13</v>
      </c>
      <c r="D56" s="1">
        <v>8201</v>
      </c>
      <c r="E56" s="1">
        <v>393</v>
      </c>
      <c r="F56">
        <v>22.76</v>
      </c>
      <c r="G56">
        <v>3.48</v>
      </c>
      <c r="H56">
        <v>84.68</v>
      </c>
      <c r="I56">
        <v>0.80100000000000005</v>
      </c>
    </row>
    <row r="57" spans="1:9" x14ac:dyDescent="0.3">
      <c r="A57" s="2"/>
      <c r="B57" s="2"/>
      <c r="C57" s="1" t="s">
        <v>14</v>
      </c>
      <c r="D57" s="1">
        <v>8057</v>
      </c>
      <c r="E57" s="1">
        <v>371</v>
      </c>
      <c r="F57">
        <v>22.55</v>
      </c>
      <c r="G57">
        <v>2.5299999999999998</v>
      </c>
      <c r="H57">
        <v>84.06</v>
      </c>
      <c r="I57">
        <v>0.81440000000000001</v>
      </c>
    </row>
    <row r="58" spans="1:9" x14ac:dyDescent="0.3">
      <c r="A58" s="2"/>
      <c r="B58" s="2"/>
      <c r="C58" s="1" t="s">
        <v>15</v>
      </c>
      <c r="D58" s="1">
        <v>6621</v>
      </c>
      <c r="E58" s="1">
        <v>339</v>
      </c>
      <c r="F58">
        <v>22.77</v>
      </c>
      <c r="G58">
        <v>2.56</v>
      </c>
      <c r="H58">
        <v>84.4</v>
      </c>
      <c r="I58">
        <v>0.85470000000000002</v>
      </c>
    </row>
    <row r="59" spans="1:9" x14ac:dyDescent="0.3">
      <c r="A59" s="2"/>
      <c r="B59" s="2"/>
      <c r="C59" s="1" t="s">
        <v>16</v>
      </c>
      <c r="D59" s="1">
        <v>10404</v>
      </c>
      <c r="E59" s="1">
        <v>479</v>
      </c>
      <c r="F59">
        <v>22.33</v>
      </c>
      <c r="G59">
        <v>8.18</v>
      </c>
      <c r="H59">
        <v>87.35</v>
      </c>
      <c r="I59">
        <v>0.94510000000000005</v>
      </c>
    </row>
    <row r="60" spans="1:9" x14ac:dyDescent="0.3">
      <c r="A60" s="2"/>
      <c r="B60" s="2"/>
      <c r="C60" s="1" t="s">
        <v>17</v>
      </c>
      <c r="D60" s="1">
        <v>7501</v>
      </c>
      <c r="E60" s="1">
        <v>328</v>
      </c>
      <c r="F60">
        <v>21.55</v>
      </c>
      <c r="G60">
        <v>9.85</v>
      </c>
      <c r="H60">
        <v>91.07</v>
      </c>
      <c r="I60">
        <v>0.63629999999999998</v>
      </c>
    </row>
    <row r="61" spans="1:9" x14ac:dyDescent="0.3">
      <c r="A61" s="2"/>
      <c r="B61" s="2"/>
      <c r="C61" s="1" t="s">
        <v>18</v>
      </c>
      <c r="D61" s="1">
        <v>9056</v>
      </c>
      <c r="E61" s="1">
        <v>443</v>
      </c>
      <c r="F61">
        <v>21.36</v>
      </c>
      <c r="G61">
        <v>3.25</v>
      </c>
      <c r="H61">
        <v>88.74</v>
      </c>
      <c r="I61">
        <v>0.87919999999999998</v>
      </c>
    </row>
    <row r="62" spans="1:9" x14ac:dyDescent="0.3">
      <c r="A62" s="2"/>
      <c r="B62" s="2" t="s">
        <v>25</v>
      </c>
      <c r="C62" s="1" t="s">
        <v>7</v>
      </c>
      <c r="D62" s="1">
        <v>3495</v>
      </c>
      <c r="E62" s="1">
        <v>204</v>
      </c>
      <c r="F62">
        <v>21.15</v>
      </c>
      <c r="G62">
        <v>6.46</v>
      </c>
      <c r="H62">
        <v>91.58</v>
      </c>
      <c r="I62">
        <v>0.63880000000000003</v>
      </c>
    </row>
    <row r="63" spans="1:9" x14ac:dyDescent="0.3">
      <c r="A63" s="2"/>
      <c r="B63" s="2"/>
      <c r="C63" s="1" t="s">
        <v>8</v>
      </c>
      <c r="D63" s="1">
        <v>4948</v>
      </c>
      <c r="E63" s="1">
        <v>291</v>
      </c>
      <c r="F63">
        <v>21.31</v>
      </c>
      <c r="G63">
        <v>2.0499999999999998</v>
      </c>
      <c r="H63">
        <v>88.04</v>
      </c>
      <c r="I63">
        <v>0.83599999999999997</v>
      </c>
    </row>
    <row r="64" spans="1:9" x14ac:dyDescent="0.3">
      <c r="A64" s="2"/>
      <c r="B64" s="2"/>
      <c r="C64" s="1" t="s">
        <v>9</v>
      </c>
      <c r="D64" s="1">
        <v>6674</v>
      </c>
      <c r="E64" s="1">
        <v>362</v>
      </c>
      <c r="F64">
        <v>22.02</v>
      </c>
      <c r="G64">
        <v>3.16</v>
      </c>
      <c r="H64">
        <v>85.84</v>
      </c>
      <c r="I64">
        <v>0.79079999999999995</v>
      </c>
    </row>
    <row r="65" spans="1:9" x14ac:dyDescent="0.3">
      <c r="A65" s="2"/>
      <c r="B65" s="2"/>
      <c r="C65" s="1" t="s">
        <v>10</v>
      </c>
      <c r="D65" s="1">
        <v>6262</v>
      </c>
      <c r="E65" s="1">
        <v>233</v>
      </c>
      <c r="F65">
        <v>23.23</v>
      </c>
      <c r="G65">
        <v>4.6100000000000003</v>
      </c>
      <c r="H65">
        <v>83.5</v>
      </c>
      <c r="I65">
        <v>0.86060000000000003</v>
      </c>
    </row>
    <row r="66" spans="1:9" x14ac:dyDescent="0.3">
      <c r="A66" s="2"/>
      <c r="B66" s="2"/>
      <c r="C66" s="1" t="s">
        <v>11</v>
      </c>
      <c r="D66" s="1">
        <v>8060</v>
      </c>
      <c r="E66" s="1">
        <v>317</v>
      </c>
      <c r="F66">
        <v>23.16</v>
      </c>
      <c r="G66">
        <v>7.39</v>
      </c>
      <c r="H66">
        <v>87.58</v>
      </c>
      <c r="I66">
        <v>0.72099999999999997</v>
      </c>
    </row>
    <row r="67" spans="1:9" x14ac:dyDescent="0.3">
      <c r="A67" s="2"/>
      <c r="B67" s="2"/>
      <c r="C67" s="1" t="s">
        <v>12</v>
      </c>
      <c r="D67" s="1">
        <v>3676</v>
      </c>
      <c r="E67" s="1">
        <v>224</v>
      </c>
      <c r="F67">
        <v>22.77</v>
      </c>
      <c r="G67">
        <v>2.94</v>
      </c>
      <c r="H67">
        <v>84.97</v>
      </c>
      <c r="I67">
        <v>0.79920000000000002</v>
      </c>
    </row>
    <row r="68" spans="1:9" x14ac:dyDescent="0.3">
      <c r="A68" s="2"/>
      <c r="B68" s="2"/>
      <c r="C68" s="1" t="s">
        <v>13</v>
      </c>
      <c r="D68" s="1">
        <v>3255</v>
      </c>
      <c r="E68" s="1">
        <v>175</v>
      </c>
      <c r="F68">
        <v>22.76</v>
      </c>
      <c r="G68">
        <v>3.48</v>
      </c>
      <c r="H68">
        <v>84.68</v>
      </c>
      <c r="I68">
        <v>0.80100000000000005</v>
      </c>
    </row>
    <row r="69" spans="1:9" x14ac:dyDescent="0.3">
      <c r="A69" s="2"/>
      <c r="B69" s="2"/>
      <c r="C69" s="1" t="s">
        <v>14</v>
      </c>
      <c r="D69" s="1">
        <v>2337</v>
      </c>
      <c r="E69" s="1">
        <v>136</v>
      </c>
      <c r="F69">
        <v>22.55</v>
      </c>
      <c r="G69">
        <v>2.5299999999999998</v>
      </c>
      <c r="H69">
        <v>84.06</v>
      </c>
      <c r="I69">
        <v>0.81440000000000001</v>
      </c>
    </row>
    <row r="70" spans="1:9" x14ac:dyDescent="0.3">
      <c r="A70" s="2"/>
      <c r="B70" s="2"/>
      <c r="C70" s="1" t="s">
        <v>15</v>
      </c>
      <c r="D70" s="1">
        <v>2315</v>
      </c>
      <c r="E70" s="1">
        <v>138</v>
      </c>
      <c r="F70">
        <v>22.77</v>
      </c>
      <c r="G70">
        <v>2.56</v>
      </c>
      <c r="H70">
        <v>84.4</v>
      </c>
      <c r="I70">
        <v>0.85470000000000002</v>
      </c>
    </row>
    <row r="71" spans="1:9" x14ac:dyDescent="0.3">
      <c r="A71" s="2"/>
      <c r="B71" s="2"/>
      <c r="C71" s="1" t="s">
        <v>16</v>
      </c>
      <c r="D71" s="1">
        <v>4314</v>
      </c>
      <c r="E71" s="1">
        <v>192</v>
      </c>
      <c r="F71">
        <v>22.33</v>
      </c>
      <c r="G71">
        <v>8.18</v>
      </c>
      <c r="H71">
        <v>87.35</v>
      </c>
      <c r="I71">
        <v>0.94510000000000005</v>
      </c>
    </row>
    <row r="72" spans="1:9" x14ac:dyDescent="0.3">
      <c r="A72" s="2"/>
      <c r="B72" s="2"/>
      <c r="C72" s="1" t="s">
        <v>17</v>
      </c>
      <c r="D72" s="1">
        <v>3140</v>
      </c>
      <c r="E72" s="1">
        <v>153</v>
      </c>
      <c r="F72">
        <v>21.55</v>
      </c>
      <c r="G72">
        <v>9.85</v>
      </c>
      <c r="H72">
        <v>91.07</v>
      </c>
      <c r="I72">
        <v>0.63629999999999998</v>
      </c>
    </row>
    <row r="73" spans="1:9" x14ac:dyDescent="0.3">
      <c r="A73" s="2"/>
      <c r="B73" s="2"/>
      <c r="C73" s="1" t="s">
        <v>18</v>
      </c>
      <c r="D73" s="1">
        <v>3301</v>
      </c>
      <c r="E73" s="1">
        <v>176</v>
      </c>
      <c r="F73">
        <v>21.36</v>
      </c>
      <c r="G73">
        <v>3.25</v>
      </c>
      <c r="H73">
        <v>88.74</v>
      </c>
      <c r="I73">
        <v>0.87919999999999998</v>
      </c>
    </row>
    <row r="74" spans="1:9" x14ac:dyDescent="0.3">
      <c r="A74" s="2">
        <v>2022</v>
      </c>
      <c r="B74" s="2" t="s">
        <v>19</v>
      </c>
      <c r="C74" s="1" t="s">
        <v>7</v>
      </c>
      <c r="D74" s="1">
        <v>8816</v>
      </c>
      <c r="E74" s="1">
        <v>193</v>
      </c>
      <c r="F74">
        <v>21.22</v>
      </c>
      <c r="G74">
        <v>2.76</v>
      </c>
      <c r="H74">
        <v>85.97</v>
      </c>
      <c r="I74">
        <v>0.85980000000000001</v>
      </c>
    </row>
    <row r="75" spans="1:9" x14ac:dyDescent="0.3">
      <c r="A75" s="2"/>
      <c r="B75" s="2"/>
      <c r="C75" s="1" t="s">
        <v>8</v>
      </c>
      <c r="D75" s="1">
        <v>6412</v>
      </c>
      <c r="E75" s="1">
        <v>185</v>
      </c>
      <c r="F75">
        <v>21.34</v>
      </c>
      <c r="G75">
        <v>2.42</v>
      </c>
      <c r="H75">
        <v>85.39</v>
      </c>
      <c r="I75">
        <v>0.81820000000000004</v>
      </c>
    </row>
    <row r="76" spans="1:9" x14ac:dyDescent="0.3">
      <c r="A76" s="2"/>
      <c r="B76" s="2"/>
      <c r="C76" s="1" t="s">
        <v>9</v>
      </c>
      <c r="D76" s="1">
        <v>6589</v>
      </c>
      <c r="E76" s="1">
        <v>203</v>
      </c>
      <c r="F76">
        <v>22.74</v>
      </c>
      <c r="G76">
        <v>2.29</v>
      </c>
      <c r="H76">
        <v>84.13</v>
      </c>
      <c r="I76">
        <v>0.78149999999999997</v>
      </c>
    </row>
    <row r="77" spans="1:9" x14ac:dyDescent="0.3">
      <c r="A77" s="2"/>
      <c r="B77" s="2"/>
      <c r="C77" s="1" t="s">
        <v>10</v>
      </c>
      <c r="D77" s="1">
        <v>10347</v>
      </c>
      <c r="E77" s="1">
        <v>247</v>
      </c>
      <c r="F77">
        <v>22.79</v>
      </c>
      <c r="G77">
        <v>9.75</v>
      </c>
      <c r="H77">
        <v>88.3</v>
      </c>
      <c r="I77">
        <v>0.83499999999999996</v>
      </c>
    </row>
    <row r="78" spans="1:9" x14ac:dyDescent="0.3">
      <c r="A78" s="2"/>
      <c r="B78" s="2"/>
      <c r="C78" s="1" t="s">
        <v>11</v>
      </c>
      <c r="D78" s="1">
        <v>10670</v>
      </c>
      <c r="E78" s="1">
        <v>282</v>
      </c>
      <c r="F78">
        <v>23.17</v>
      </c>
      <c r="G78">
        <v>3.16</v>
      </c>
      <c r="H78">
        <v>86.19</v>
      </c>
      <c r="I78">
        <v>0.56210000000000004</v>
      </c>
    </row>
    <row r="79" spans="1:9" x14ac:dyDescent="0.3">
      <c r="A79" s="2"/>
      <c r="B79" s="2"/>
      <c r="C79" s="1" t="s">
        <v>12</v>
      </c>
      <c r="D79" s="1">
        <v>5064</v>
      </c>
      <c r="E79" s="1">
        <v>187</v>
      </c>
      <c r="F79">
        <v>22.93</v>
      </c>
      <c r="G79">
        <v>1.83</v>
      </c>
      <c r="H79">
        <v>83.3</v>
      </c>
      <c r="I79">
        <v>0.76759999999999995</v>
      </c>
    </row>
    <row r="80" spans="1:9" x14ac:dyDescent="0.3">
      <c r="A80" s="2"/>
      <c r="B80" s="2"/>
      <c r="C80" s="1" t="s">
        <v>13</v>
      </c>
      <c r="D80" s="1">
        <v>4437</v>
      </c>
      <c r="E80" s="1">
        <v>165.5</v>
      </c>
      <c r="F80">
        <v>22.61</v>
      </c>
      <c r="G80">
        <v>4.78</v>
      </c>
      <c r="H80">
        <v>83.71</v>
      </c>
      <c r="I80">
        <v>0.87760000000000005</v>
      </c>
    </row>
    <row r="81" spans="1:9" x14ac:dyDescent="0.3">
      <c r="A81" s="2"/>
      <c r="B81" s="2"/>
      <c r="C81" s="1" t="s">
        <v>14</v>
      </c>
      <c r="D81" s="1">
        <v>3363</v>
      </c>
      <c r="E81" s="1">
        <v>117</v>
      </c>
      <c r="F81">
        <v>22.17</v>
      </c>
      <c r="G81">
        <v>3.63</v>
      </c>
      <c r="H81">
        <v>85.94</v>
      </c>
      <c r="I81">
        <v>0.66990000000000005</v>
      </c>
    </row>
    <row r="82" spans="1:9" x14ac:dyDescent="0.3">
      <c r="A82" s="2"/>
      <c r="B82" s="2"/>
      <c r="C82" s="1" t="s">
        <v>15</v>
      </c>
      <c r="D82" s="1">
        <v>5648</v>
      </c>
      <c r="E82" s="1">
        <v>193</v>
      </c>
      <c r="F82">
        <v>22.33</v>
      </c>
      <c r="G82">
        <v>1.48</v>
      </c>
      <c r="H82">
        <v>83.97</v>
      </c>
      <c r="I82">
        <v>0.82630000000000003</v>
      </c>
    </row>
    <row r="83" spans="1:9" x14ac:dyDescent="0.3">
      <c r="A83" s="2"/>
      <c r="B83" s="2"/>
      <c r="C83" s="1" t="s">
        <v>16</v>
      </c>
      <c r="D83" s="1">
        <v>5403</v>
      </c>
      <c r="E83" s="1">
        <v>191</v>
      </c>
      <c r="F83">
        <v>21.69</v>
      </c>
      <c r="G83">
        <v>9.4600000000000009</v>
      </c>
      <c r="H83">
        <v>89.16</v>
      </c>
      <c r="I83">
        <v>0.83940000000000003</v>
      </c>
    </row>
    <row r="84" spans="1:9" x14ac:dyDescent="0.3">
      <c r="A84" s="2"/>
      <c r="B84" s="2"/>
      <c r="C84" s="1" t="s">
        <v>17</v>
      </c>
      <c r="D84" s="1">
        <v>5595</v>
      </c>
      <c r="E84" s="1">
        <v>205</v>
      </c>
      <c r="F84">
        <v>21.39</v>
      </c>
      <c r="G84">
        <v>5.44</v>
      </c>
      <c r="H84">
        <v>88.1</v>
      </c>
      <c r="I84">
        <v>0.91180000000000005</v>
      </c>
    </row>
    <row r="85" spans="1:9" x14ac:dyDescent="0.3">
      <c r="A85" s="2"/>
      <c r="B85" s="2"/>
      <c r="C85" s="1" t="s">
        <v>18</v>
      </c>
      <c r="D85" s="1">
        <v>8067</v>
      </c>
      <c r="E85" s="1">
        <v>284</v>
      </c>
      <c r="F85">
        <v>20.87</v>
      </c>
      <c r="G85">
        <v>6.62</v>
      </c>
      <c r="H85">
        <v>88.97</v>
      </c>
      <c r="I85">
        <v>0.84840000000000004</v>
      </c>
    </row>
    <row r="86" spans="1:9" x14ac:dyDescent="0.3">
      <c r="A86" s="2"/>
      <c r="B86" s="2" t="s">
        <v>21</v>
      </c>
      <c r="C86" s="1" t="s">
        <v>7</v>
      </c>
      <c r="D86" s="1">
        <v>8496</v>
      </c>
      <c r="E86" s="1">
        <v>336</v>
      </c>
      <c r="F86">
        <v>21.22</v>
      </c>
      <c r="G86">
        <v>2.76</v>
      </c>
      <c r="H86">
        <v>85.97</v>
      </c>
      <c r="I86">
        <v>0.85980000000000001</v>
      </c>
    </row>
    <row r="87" spans="1:9" x14ac:dyDescent="0.3">
      <c r="A87" s="2"/>
      <c r="B87" s="2"/>
      <c r="C87" s="1" t="s">
        <v>8</v>
      </c>
      <c r="D87" s="1">
        <v>3705</v>
      </c>
      <c r="E87" s="1">
        <v>172</v>
      </c>
      <c r="F87">
        <v>21.34</v>
      </c>
      <c r="G87">
        <v>2.42</v>
      </c>
      <c r="H87">
        <v>85.39</v>
      </c>
      <c r="I87">
        <v>0.81820000000000004</v>
      </c>
    </row>
    <row r="88" spans="1:9" x14ac:dyDescent="0.3">
      <c r="A88" s="2"/>
      <c r="B88" s="2"/>
      <c r="C88" s="1" t="s">
        <v>9</v>
      </c>
      <c r="D88" s="1">
        <v>7753</v>
      </c>
      <c r="E88" s="1">
        <v>310</v>
      </c>
      <c r="F88">
        <v>22.74</v>
      </c>
      <c r="G88">
        <v>2.29</v>
      </c>
      <c r="H88">
        <v>84.13</v>
      </c>
      <c r="I88">
        <v>0.78149999999999997</v>
      </c>
    </row>
    <row r="89" spans="1:9" x14ac:dyDescent="0.3">
      <c r="A89" s="2"/>
      <c r="B89" s="2"/>
      <c r="C89" s="1" t="s">
        <v>10</v>
      </c>
      <c r="D89" s="1">
        <v>7780</v>
      </c>
      <c r="E89" s="1">
        <v>243</v>
      </c>
      <c r="F89">
        <v>22.79</v>
      </c>
      <c r="G89">
        <v>9.75</v>
      </c>
      <c r="H89">
        <v>88.3</v>
      </c>
      <c r="I89">
        <v>0.83499999999999996</v>
      </c>
    </row>
    <row r="90" spans="1:9" x14ac:dyDescent="0.3">
      <c r="A90" s="2"/>
      <c r="B90" s="2"/>
      <c r="C90" s="1" t="s">
        <v>11</v>
      </c>
      <c r="D90" s="1">
        <v>9989</v>
      </c>
      <c r="E90" s="1">
        <v>326</v>
      </c>
      <c r="F90">
        <v>23.17</v>
      </c>
      <c r="G90">
        <v>3.16</v>
      </c>
      <c r="H90">
        <v>86.19</v>
      </c>
      <c r="I90">
        <v>0.56210000000000004</v>
      </c>
    </row>
    <row r="91" spans="1:9" x14ac:dyDescent="0.3">
      <c r="A91" s="2"/>
      <c r="B91" s="2"/>
      <c r="C91" s="1" t="s">
        <v>12</v>
      </c>
      <c r="D91" s="1">
        <v>5290</v>
      </c>
      <c r="E91" s="1">
        <v>212</v>
      </c>
      <c r="F91">
        <v>22.93</v>
      </c>
      <c r="G91">
        <v>1.83</v>
      </c>
      <c r="H91">
        <v>83.3</v>
      </c>
      <c r="I91">
        <v>0.76759999999999995</v>
      </c>
    </row>
    <row r="92" spans="1:9" x14ac:dyDescent="0.3">
      <c r="A92" s="2"/>
      <c r="B92" s="2"/>
      <c r="C92" s="1" t="s">
        <v>13</v>
      </c>
      <c r="D92" s="1">
        <v>5026</v>
      </c>
      <c r="E92" s="1">
        <v>218</v>
      </c>
      <c r="F92">
        <v>22.61</v>
      </c>
      <c r="G92">
        <v>4.78</v>
      </c>
      <c r="H92">
        <v>83.71</v>
      </c>
      <c r="I92">
        <v>0.87760000000000005</v>
      </c>
    </row>
    <row r="93" spans="1:9" x14ac:dyDescent="0.3">
      <c r="A93" s="2"/>
      <c r="B93" s="2"/>
      <c r="C93" s="1" t="s">
        <v>14</v>
      </c>
      <c r="D93" s="1">
        <v>3328</v>
      </c>
      <c r="E93" s="1">
        <v>156</v>
      </c>
      <c r="F93">
        <v>22.17</v>
      </c>
      <c r="G93">
        <v>3.63</v>
      </c>
      <c r="H93">
        <v>85.94</v>
      </c>
      <c r="I93">
        <v>0.66990000000000005</v>
      </c>
    </row>
    <row r="94" spans="1:9" x14ac:dyDescent="0.3">
      <c r="A94" s="2"/>
      <c r="B94" s="2"/>
      <c r="C94" s="1" t="s">
        <v>15</v>
      </c>
      <c r="D94" s="1">
        <v>5004</v>
      </c>
      <c r="E94" s="1">
        <v>236</v>
      </c>
      <c r="F94">
        <v>22.33</v>
      </c>
      <c r="G94">
        <v>1.48</v>
      </c>
      <c r="H94">
        <v>83.97</v>
      </c>
      <c r="I94">
        <v>0.82630000000000003</v>
      </c>
    </row>
    <row r="95" spans="1:9" x14ac:dyDescent="0.3">
      <c r="A95" s="2"/>
      <c r="B95" s="2"/>
      <c r="C95" s="1" t="s">
        <v>16</v>
      </c>
      <c r="D95" s="1">
        <v>4810</v>
      </c>
      <c r="E95" s="1">
        <v>219</v>
      </c>
      <c r="F95">
        <v>21.69</v>
      </c>
      <c r="G95">
        <v>9.4600000000000009</v>
      </c>
      <c r="H95">
        <v>89.16</v>
      </c>
      <c r="I95">
        <v>0.83940000000000003</v>
      </c>
    </row>
    <row r="96" spans="1:9" x14ac:dyDescent="0.3">
      <c r="A96" s="2"/>
      <c r="B96" s="2"/>
      <c r="C96" s="1" t="s">
        <v>17</v>
      </c>
      <c r="D96" s="1">
        <v>5546</v>
      </c>
      <c r="E96" s="1">
        <v>227.5</v>
      </c>
      <c r="F96">
        <v>21.39</v>
      </c>
      <c r="G96">
        <v>5.44</v>
      </c>
      <c r="H96">
        <v>88.1</v>
      </c>
      <c r="I96">
        <v>0.91180000000000005</v>
      </c>
    </row>
    <row r="97" spans="1:9" x14ac:dyDescent="0.3">
      <c r="A97" s="2"/>
      <c r="B97" s="2"/>
      <c r="C97" s="1" t="s">
        <v>18</v>
      </c>
      <c r="D97" s="1">
        <v>5838</v>
      </c>
      <c r="E97" s="1">
        <v>256.5</v>
      </c>
      <c r="F97">
        <v>20.87</v>
      </c>
      <c r="G97">
        <v>6.62</v>
      </c>
      <c r="H97">
        <v>88.97</v>
      </c>
      <c r="I97">
        <v>0.84840000000000004</v>
      </c>
    </row>
    <row r="98" spans="1:9" x14ac:dyDescent="0.3">
      <c r="A98" s="2"/>
      <c r="B98" s="2" t="s">
        <v>22</v>
      </c>
      <c r="C98" s="1" t="s">
        <v>7</v>
      </c>
      <c r="D98" s="1">
        <v>15697</v>
      </c>
      <c r="E98" s="1">
        <v>562</v>
      </c>
      <c r="F98">
        <v>21.22</v>
      </c>
      <c r="G98">
        <v>2.76</v>
      </c>
      <c r="H98">
        <v>85.97</v>
      </c>
      <c r="I98">
        <v>0.85980000000000001</v>
      </c>
    </row>
    <row r="99" spans="1:9" x14ac:dyDescent="0.3">
      <c r="A99" s="2"/>
      <c r="B99" s="2"/>
      <c r="C99" s="1" t="s">
        <v>8</v>
      </c>
      <c r="D99" s="1">
        <v>11221</v>
      </c>
      <c r="E99" s="1">
        <f>482-13</f>
        <v>469</v>
      </c>
      <c r="F99">
        <v>21.34</v>
      </c>
      <c r="G99">
        <v>2.42</v>
      </c>
      <c r="H99">
        <v>85.39</v>
      </c>
      <c r="I99">
        <v>0.81820000000000004</v>
      </c>
    </row>
    <row r="100" spans="1:9" x14ac:dyDescent="0.3">
      <c r="A100" s="2"/>
      <c r="B100" s="2"/>
      <c r="C100" s="1" t="s">
        <v>9</v>
      </c>
      <c r="D100" s="1">
        <v>13779</v>
      </c>
      <c r="E100" s="1">
        <v>536</v>
      </c>
      <c r="F100">
        <v>22.74</v>
      </c>
      <c r="G100">
        <v>2.29</v>
      </c>
      <c r="H100">
        <v>84.13</v>
      </c>
      <c r="I100">
        <v>0.78149999999999997</v>
      </c>
    </row>
    <row r="101" spans="1:9" x14ac:dyDescent="0.3">
      <c r="A101" s="2"/>
      <c r="B101" s="2"/>
      <c r="C101" s="1" t="s">
        <v>10</v>
      </c>
      <c r="D101" s="1">
        <v>16534</v>
      </c>
      <c r="E101" s="1">
        <v>497.05</v>
      </c>
      <c r="F101">
        <v>22.79</v>
      </c>
      <c r="G101">
        <v>9.75</v>
      </c>
      <c r="H101">
        <v>88.3</v>
      </c>
      <c r="I101">
        <v>0.83499999999999996</v>
      </c>
    </row>
    <row r="102" spans="1:9" x14ac:dyDescent="0.3">
      <c r="A102" s="2"/>
      <c r="B102" s="2"/>
      <c r="C102" s="1" t="s">
        <v>11</v>
      </c>
      <c r="D102" s="1">
        <v>18188</v>
      </c>
      <c r="E102" s="1">
        <v>525</v>
      </c>
      <c r="F102">
        <v>23.17</v>
      </c>
      <c r="G102">
        <v>3.16</v>
      </c>
      <c r="H102">
        <v>86.19</v>
      </c>
      <c r="I102">
        <v>0.56210000000000004</v>
      </c>
    </row>
    <row r="103" spans="1:9" x14ac:dyDescent="0.3">
      <c r="A103" s="2"/>
      <c r="B103" s="2"/>
      <c r="C103" s="1" t="s">
        <v>12</v>
      </c>
      <c r="D103" s="1">
        <v>8626</v>
      </c>
      <c r="E103" s="1">
        <v>320</v>
      </c>
      <c r="F103">
        <v>22.93</v>
      </c>
      <c r="G103">
        <v>1.83</v>
      </c>
      <c r="H103">
        <v>83.3</v>
      </c>
      <c r="I103">
        <v>0.76759999999999995</v>
      </c>
    </row>
    <row r="104" spans="1:9" x14ac:dyDescent="0.3">
      <c r="A104" s="2"/>
      <c r="B104" s="2"/>
      <c r="C104" s="1" t="s">
        <v>13</v>
      </c>
      <c r="D104" s="1">
        <v>8224</v>
      </c>
      <c r="E104" s="1">
        <v>280.5</v>
      </c>
      <c r="F104">
        <v>22.61</v>
      </c>
      <c r="G104">
        <v>4.78</v>
      </c>
      <c r="H104">
        <v>83.71</v>
      </c>
      <c r="I104">
        <v>0.87760000000000005</v>
      </c>
    </row>
    <row r="105" spans="1:9" x14ac:dyDescent="0.3">
      <c r="A105" s="2"/>
      <c r="B105" s="2"/>
      <c r="C105" s="1" t="s">
        <v>14</v>
      </c>
      <c r="D105" s="1">
        <v>5540</v>
      </c>
      <c r="E105" s="1">
        <v>228</v>
      </c>
      <c r="F105">
        <v>22.17</v>
      </c>
      <c r="G105">
        <v>3.63</v>
      </c>
      <c r="H105">
        <v>85.94</v>
      </c>
      <c r="I105">
        <v>0.66990000000000005</v>
      </c>
    </row>
    <row r="106" spans="1:9" x14ac:dyDescent="0.3">
      <c r="A106" s="2"/>
      <c r="B106" s="2"/>
      <c r="C106" s="1" t="s">
        <v>15</v>
      </c>
      <c r="D106" s="1">
        <v>9964</v>
      </c>
      <c r="E106" s="1">
        <v>441</v>
      </c>
      <c r="F106">
        <v>22.33</v>
      </c>
      <c r="G106">
        <v>1.48</v>
      </c>
      <c r="H106">
        <v>83.97</v>
      </c>
      <c r="I106">
        <v>0.82630000000000003</v>
      </c>
    </row>
    <row r="107" spans="1:9" x14ac:dyDescent="0.3">
      <c r="A107" s="2"/>
      <c r="B107" s="2"/>
      <c r="C107" s="1" t="s">
        <v>16</v>
      </c>
      <c r="D107" s="1">
        <v>5836</v>
      </c>
      <c r="E107" s="1">
        <v>252.5</v>
      </c>
      <c r="F107">
        <v>21.69</v>
      </c>
      <c r="G107">
        <v>9.4600000000000009</v>
      </c>
      <c r="H107">
        <v>89.16</v>
      </c>
      <c r="I107">
        <v>0.83940000000000003</v>
      </c>
    </row>
    <row r="108" spans="1:9" x14ac:dyDescent="0.3">
      <c r="A108" s="2"/>
      <c r="B108" s="2"/>
      <c r="C108" s="1" t="s">
        <v>17</v>
      </c>
      <c r="D108" s="1">
        <v>6921</v>
      </c>
      <c r="E108" s="1">
        <v>291.5</v>
      </c>
      <c r="F108">
        <v>21.39</v>
      </c>
      <c r="G108">
        <v>5.44</v>
      </c>
      <c r="H108">
        <v>88.1</v>
      </c>
      <c r="I108">
        <v>0.91180000000000005</v>
      </c>
    </row>
    <row r="109" spans="1:9" x14ac:dyDescent="0.3">
      <c r="A109" s="2"/>
      <c r="B109" s="2"/>
      <c r="C109" s="1" t="s">
        <v>18</v>
      </c>
      <c r="D109" s="1">
        <v>10715</v>
      </c>
      <c r="E109" s="1">
        <v>438</v>
      </c>
      <c r="F109">
        <v>20.87</v>
      </c>
      <c r="G109">
        <v>6.62</v>
      </c>
      <c r="H109">
        <v>88.97</v>
      </c>
      <c r="I109">
        <v>0.84840000000000004</v>
      </c>
    </row>
    <row r="110" spans="1:9" x14ac:dyDescent="0.3">
      <c r="A110" s="2"/>
      <c r="B110" s="2" t="s">
        <v>23</v>
      </c>
      <c r="C110" s="1" t="s">
        <v>7</v>
      </c>
      <c r="D110" s="1">
        <v>10074</v>
      </c>
      <c r="E110" s="1">
        <v>316</v>
      </c>
      <c r="F110">
        <v>21.22</v>
      </c>
      <c r="G110">
        <v>2.76</v>
      </c>
      <c r="H110">
        <v>85.97</v>
      </c>
      <c r="I110">
        <v>0.85980000000000001</v>
      </c>
    </row>
    <row r="111" spans="1:9" x14ac:dyDescent="0.3">
      <c r="A111" s="2"/>
      <c r="B111" s="2"/>
      <c r="C111" s="1" t="s">
        <v>8</v>
      </c>
      <c r="D111" s="1">
        <v>6536</v>
      </c>
      <c r="E111" s="1">
        <v>238</v>
      </c>
      <c r="F111">
        <v>21.34</v>
      </c>
      <c r="G111">
        <v>2.42</v>
      </c>
      <c r="H111">
        <v>85.39</v>
      </c>
      <c r="I111">
        <v>0.81820000000000004</v>
      </c>
    </row>
    <row r="112" spans="1:9" x14ac:dyDescent="0.3">
      <c r="A112" s="2"/>
      <c r="B112" s="2"/>
      <c r="C112" s="1" t="s">
        <v>9</v>
      </c>
      <c r="D112" s="1">
        <v>10458</v>
      </c>
      <c r="E112" s="1">
        <v>333</v>
      </c>
      <c r="F112">
        <v>22.74</v>
      </c>
      <c r="G112">
        <v>2.29</v>
      </c>
      <c r="H112">
        <v>84.13</v>
      </c>
      <c r="I112">
        <v>0.78149999999999997</v>
      </c>
    </row>
    <row r="113" spans="1:9" x14ac:dyDescent="0.3">
      <c r="A113" s="2"/>
      <c r="B113" s="2"/>
      <c r="C113" s="1" t="s">
        <v>10</v>
      </c>
      <c r="D113" s="1">
        <v>12500</v>
      </c>
      <c r="E113" s="1">
        <v>282</v>
      </c>
      <c r="F113">
        <v>22.79</v>
      </c>
      <c r="G113">
        <v>9.75</v>
      </c>
      <c r="H113">
        <v>88.3</v>
      </c>
      <c r="I113">
        <v>0.83499999999999996</v>
      </c>
    </row>
    <row r="114" spans="1:9" x14ac:dyDescent="0.3">
      <c r="A114" s="2"/>
      <c r="B114" s="2"/>
      <c r="C114" s="1" t="s">
        <v>11</v>
      </c>
      <c r="D114" s="1">
        <v>11946</v>
      </c>
      <c r="E114" s="1">
        <v>330</v>
      </c>
      <c r="F114">
        <v>23.17</v>
      </c>
      <c r="G114">
        <v>3.16</v>
      </c>
      <c r="H114">
        <v>86.19</v>
      </c>
      <c r="I114">
        <v>0.56210000000000004</v>
      </c>
    </row>
    <row r="115" spans="1:9" x14ac:dyDescent="0.3">
      <c r="A115" s="2"/>
      <c r="B115" s="2"/>
      <c r="C115" s="1" t="s">
        <v>12</v>
      </c>
      <c r="D115" s="1">
        <v>5500</v>
      </c>
      <c r="E115" s="1">
        <v>189</v>
      </c>
      <c r="F115">
        <v>22.93</v>
      </c>
      <c r="G115">
        <v>1.83</v>
      </c>
      <c r="H115">
        <v>83.3</v>
      </c>
      <c r="I115">
        <v>0.76759999999999995</v>
      </c>
    </row>
    <row r="116" spans="1:9" x14ac:dyDescent="0.3">
      <c r="A116" s="2"/>
      <c r="B116" s="2"/>
      <c r="C116" s="1" t="s">
        <v>13</v>
      </c>
      <c r="D116" s="1">
        <v>5409</v>
      </c>
      <c r="E116" s="1">
        <v>184.5</v>
      </c>
      <c r="F116">
        <v>22.61</v>
      </c>
      <c r="G116">
        <v>4.78</v>
      </c>
      <c r="H116">
        <v>83.71</v>
      </c>
      <c r="I116">
        <v>0.87760000000000005</v>
      </c>
    </row>
    <row r="117" spans="1:9" x14ac:dyDescent="0.3">
      <c r="A117" s="2"/>
      <c r="B117" s="2"/>
      <c r="C117" s="1" t="s">
        <v>14</v>
      </c>
      <c r="D117" s="1">
        <v>2682</v>
      </c>
      <c r="E117" s="1">
        <v>124</v>
      </c>
      <c r="F117">
        <v>22.17</v>
      </c>
      <c r="G117">
        <v>3.63</v>
      </c>
      <c r="H117">
        <v>85.94</v>
      </c>
      <c r="I117">
        <v>0.66990000000000005</v>
      </c>
    </row>
    <row r="118" spans="1:9" x14ac:dyDescent="0.3">
      <c r="A118" s="2"/>
      <c r="B118" s="2"/>
      <c r="C118" s="1" t="s">
        <v>15</v>
      </c>
      <c r="D118" s="1">
        <v>4856</v>
      </c>
      <c r="E118" s="1">
        <v>167</v>
      </c>
      <c r="F118">
        <v>22.33</v>
      </c>
      <c r="G118">
        <v>1.48</v>
      </c>
      <c r="H118">
        <v>83.97</v>
      </c>
      <c r="I118">
        <v>0.82630000000000003</v>
      </c>
    </row>
    <row r="119" spans="1:9" x14ac:dyDescent="0.3">
      <c r="A119" s="2"/>
      <c r="B119" s="2"/>
      <c r="C119" s="1" t="s">
        <v>16</v>
      </c>
      <c r="D119" s="1">
        <v>3668</v>
      </c>
      <c r="E119" s="1">
        <v>144</v>
      </c>
      <c r="F119">
        <v>21.69</v>
      </c>
      <c r="G119">
        <v>9.4600000000000009</v>
      </c>
      <c r="H119">
        <v>89.16</v>
      </c>
      <c r="I119">
        <v>0.83940000000000003</v>
      </c>
    </row>
    <row r="120" spans="1:9" x14ac:dyDescent="0.3">
      <c r="A120" s="2"/>
      <c r="B120" s="2"/>
      <c r="C120" s="1" t="s">
        <v>17</v>
      </c>
      <c r="D120" s="1">
        <v>4961</v>
      </c>
      <c r="E120" s="1">
        <v>187</v>
      </c>
      <c r="F120">
        <v>21.39</v>
      </c>
      <c r="G120">
        <v>5.44</v>
      </c>
      <c r="H120">
        <v>88.1</v>
      </c>
      <c r="I120">
        <v>0.91180000000000005</v>
      </c>
    </row>
    <row r="121" spans="1:9" x14ac:dyDescent="0.3">
      <c r="A121" s="2"/>
      <c r="B121" s="2"/>
      <c r="C121" s="1" t="s">
        <v>18</v>
      </c>
      <c r="D121" s="1">
        <v>6971</v>
      </c>
      <c r="E121" s="1">
        <v>262.5</v>
      </c>
      <c r="F121">
        <v>20.87</v>
      </c>
      <c r="G121">
        <v>6.62</v>
      </c>
      <c r="H121">
        <v>88.97</v>
      </c>
      <c r="I121">
        <v>0.84840000000000004</v>
      </c>
    </row>
    <row r="122" spans="1:9" x14ac:dyDescent="0.3">
      <c r="A122" s="2"/>
      <c r="B122" s="2" t="s">
        <v>24</v>
      </c>
      <c r="C122" s="1" t="s">
        <v>7</v>
      </c>
      <c r="D122" s="1">
        <v>10698</v>
      </c>
      <c r="E122" s="1">
        <v>432</v>
      </c>
      <c r="F122">
        <v>21.22</v>
      </c>
      <c r="G122">
        <v>2.76</v>
      </c>
      <c r="H122">
        <v>85.97</v>
      </c>
      <c r="I122">
        <v>0.85980000000000001</v>
      </c>
    </row>
    <row r="123" spans="1:9" x14ac:dyDescent="0.3">
      <c r="A123" s="2"/>
      <c r="B123" s="2"/>
      <c r="C123" s="1" t="s">
        <v>8</v>
      </c>
      <c r="D123" s="1">
        <v>10806</v>
      </c>
      <c r="E123" s="1">
        <v>396</v>
      </c>
      <c r="F123">
        <v>21.34</v>
      </c>
      <c r="G123">
        <v>2.42</v>
      </c>
      <c r="H123">
        <v>85.39</v>
      </c>
      <c r="I123">
        <v>0.81820000000000004</v>
      </c>
    </row>
    <row r="124" spans="1:9" x14ac:dyDescent="0.3">
      <c r="A124" s="2"/>
      <c r="B124" s="2"/>
      <c r="C124" s="1" t="s">
        <v>9</v>
      </c>
      <c r="D124" s="1">
        <v>12493</v>
      </c>
      <c r="E124" s="1">
        <v>466</v>
      </c>
      <c r="F124">
        <v>22.74</v>
      </c>
      <c r="G124">
        <v>2.29</v>
      </c>
      <c r="H124">
        <v>84.13</v>
      </c>
      <c r="I124">
        <v>0.78149999999999997</v>
      </c>
    </row>
    <row r="125" spans="1:9" x14ac:dyDescent="0.3">
      <c r="A125" s="2"/>
      <c r="B125" s="2"/>
      <c r="C125" s="1" t="s">
        <v>10</v>
      </c>
      <c r="D125" s="1">
        <v>12943</v>
      </c>
      <c r="E125" s="1">
        <v>354</v>
      </c>
      <c r="F125">
        <v>22.79</v>
      </c>
      <c r="G125">
        <v>9.75</v>
      </c>
      <c r="H125">
        <v>88.3</v>
      </c>
      <c r="I125">
        <v>0.83499999999999996</v>
      </c>
    </row>
    <row r="126" spans="1:9" x14ac:dyDescent="0.3">
      <c r="A126" s="2"/>
      <c r="B126" s="2"/>
      <c r="C126" s="1" t="s">
        <v>11</v>
      </c>
      <c r="D126" s="1">
        <v>14439</v>
      </c>
      <c r="E126" s="1">
        <v>407</v>
      </c>
      <c r="F126">
        <v>23.17</v>
      </c>
      <c r="G126">
        <v>3.16</v>
      </c>
      <c r="H126">
        <v>86.19</v>
      </c>
      <c r="I126">
        <v>0.56210000000000004</v>
      </c>
    </row>
    <row r="127" spans="1:9" x14ac:dyDescent="0.3">
      <c r="A127" s="2"/>
      <c r="B127" s="2"/>
      <c r="C127" s="1" t="s">
        <v>12</v>
      </c>
      <c r="D127" s="1">
        <v>2537</v>
      </c>
      <c r="E127" s="1">
        <v>152</v>
      </c>
      <c r="F127">
        <v>22.93</v>
      </c>
      <c r="G127">
        <v>1.83</v>
      </c>
      <c r="H127">
        <v>83.3</v>
      </c>
      <c r="I127">
        <v>0.76759999999999995</v>
      </c>
    </row>
    <row r="128" spans="1:9" x14ac:dyDescent="0.3">
      <c r="A128" s="2"/>
      <c r="B128" s="2"/>
      <c r="C128" s="1" t="s">
        <v>13</v>
      </c>
      <c r="D128" s="1">
        <v>4590</v>
      </c>
      <c r="E128" s="1">
        <v>244.5</v>
      </c>
      <c r="F128">
        <v>22.61</v>
      </c>
      <c r="G128">
        <v>4.78</v>
      </c>
      <c r="H128">
        <v>83.71</v>
      </c>
      <c r="I128">
        <v>0.87760000000000005</v>
      </c>
    </row>
    <row r="129" spans="1:9" x14ac:dyDescent="0.3">
      <c r="A129" s="2"/>
      <c r="B129" s="2"/>
      <c r="C129" s="1" t="s">
        <v>14</v>
      </c>
      <c r="D129" s="1">
        <v>1634</v>
      </c>
      <c r="E129" s="1">
        <v>116</v>
      </c>
      <c r="F129">
        <v>22.17</v>
      </c>
      <c r="G129">
        <v>3.63</v>
      </c>
      <c r="H129">
        <v>85.94</v>
      </c>
      <c r="I129">
        <v>0.66990000000000005</v>
      </c>
    </row>
    <row r="130" spans="1:9" x14ac:dyDescent="0.3">
      <c r="A130" s="2"/>
      <c r="B130" s="2"/>
      <c r="C130" s="1" t="s">
        <v>15</v>
      </c>
      <c r="D130" s="1">
        <v>5581</v>
      </c>
      <c r="E130" s="1">
        <v>275</v>
      </c>
      <c r="F130">
        <v>22.33</v>
      </c>
      <c r="G130">
        <v>1.48</v>
      </c>
      <c r="H130">
        <v>83.97</v>
      </c>
      <c r="I130">
        <v>0.82630000000000003</v>
      </c>
    </row>
    <row r="131" spans="1:9" x14ac:dyDescent="0.3">
      <c r="A131" s="2"/>
      <c r="B131" s="2"/>
      <c r="C131" s="1" t="s">
        <v>16</v>
      </c>
      <c r="D131" s="1">
        <v>3452</v>
      </c>
      <c r="E131" s="1">
        <v>165.5</v>
      </c>
      <c r="F131">
        <v>21.69</v>
      </c>
      <c r="G131">
        <v>9.4600000000000009</v>
      </c>
      <c r="H131">
        <v>89.16</v>
      </c>
      <c r="I131">
        <v>0.83940000000000003</v>
      </c>
    </row>
    <row r="132" spans="1:9" x14ac:dyDescent="0.3">
      <c r="A132" s="2"/>
      <c r="B132" s="2"/>
      <c r="C132" s="1" t="s">
        <v>17</v>
      </c>
      <c r="D132" s="1">
        <v>5690</v>
      </c>
      <c r="E132" s="1">
        <v>260.5</v>
      </c>
      <c r="F132">
        <v>21.39</v>
      </c>
      <c r="G132">
        <v>5.44</v>
      </c>
      <c r="H132">
        <v>88.1</v>
      </c>
      <c r="I132">
        <v>0.91180000000000005</v>
      </c>
    </row>
    <row r="133" spans="1:9" x14ac:dyDescent="0.3">
      <c r="A133" s="2"/>
      <c r="B133" s="2"/>
      <c r="C133" s="1" t="s">
        <v>18</v>
      </c>
      <c r="D133" s="1">
        <v>5846</v>
      </c>
      <c r="E133" s="1">
        <v>251.5</v>
      </c>
      <c r="F133">
        <v>20.87</v>
      </c>
      <c r="G133">
        <v>6.62</v>
      </c>
      <c r="H133">
        <v>88.97</v>
      </c>
      <c r="I133">
        <v>0.84840000000000004</v>
      </c>
    </row>
    <row r="134" spans="1:9" x14ac:dyDescent="0.3">
      <c r="A134" s="2"/>
      <c r="B134" s="2" t="s">
        <v>25</v>
      </c>
      <c r="C134" s="1" t="s">
        <v>7</v>
      </c>
      <c r="D134" s="1">
        <v>4546</v>
      </c>
      <c r="E134" s="1">
        <v>188</v>
      </c>
      <c r="F134">
        <v>21.22</v>
      </c>
      <c r="G134">
        <v>2.76</v>
      </c>
      <c r="H134">
        <v>85.97</v>
      </c>
      <c r="I134">
        <v>0.85980000000000001</v>
      </c>
    </row>
    <row r="135" spans="1:9" x14ac:dyDescent="0.3">
      <c r="A135" s="2"/>
      <c r="B135" s="2"/>
      <c r="C135" s="1" t="s">
        <v>8</v>
      </c>
      <c r="D135" s="1">
        <v>2329</v>
      </c>
      <c r="E135" s="1">
        <v>100</v>
      </c>
      <c r="F135">
        <v>21.34</v>
      </c>
      <c r="G135">
        <v>2.42</v>
      </c>
      <c r="H135">
        <v>85.39</v>
      </c>
      <c r="I135">
        <v>0.81820000000000004</v>
      </c>
    </row>
    <row r="136" spans="1:9" x14ac:dyDescent="0.3">
      <c r="A136" s="2"/>
      <c r="B136" s="2"/>
      <c r="C136" s="1" t="s">
        <v>9</v>
      </c>
      <c r="D136" s="1">
        <v>5500</v>
      </c>
      <c r="E136" s="1">
        <v>239</v>
      </c>
      <c r="F136">
        <v>22.74</v>
      </c>
      <c r="G136">
        <v>2.29</v>
      </c>
      <c r="H136">
        <v>84.13</v>
      </c>
      <c r="I136">
        <v>0.78149999999999997</v>
      </c>
    </row>
    <row r="137" spans="1:9" x14ac:dyDescent="0.3">
      <c r="A137" s="2"/>
      <c r="B137" s="2"/>
      <c r="C137" s="1" t="s">
        <v>10</v>
      </c>
      <c r="D137" s="1">
        <v>3471</v>
      </c>
      <c r="E137" s="1">
        <v>124</v>
      </c>
      <c r="F137">
        <v>22.79</v>
      </c>
      <c r="G137">
        <v>9.75</v>
      </c>
      <c r="H137">
        <v>88.3</v>
      </c>
      <c r="I137">
        <v>0.83499999999999996</v>
      </c>
    </row>
    <row r="138" spans="1:9" x14ac:dyDescent="0.3">
      <c r="A138" s="2"/>
      <c r="B138" s="2"/>
      <c r="C138" s="1" t="s">
        <v>11</v>
      </c>
      <c r="D138" s="1">
        <v>5856</v>
      </c>
      <c r="E138" s="1">
        <v>189</v>
      </c>
      <c r="F138">
        <v>23.17</v>
      </c>
      <c r="G138">
        <v>3.16</v>
      </c>
      <c r="H138">
        <v>86.19</v>
      </c>
      <c r="I138">
        <v>0.56210000000000004</v>
      </c>
    </row>
    <row r="139" spans="1:9" x14ac:dyDescent="0.3">
      <c r="A139" s="2"/>
      <c r="B139" s="2"/>
      <c r="C139" s="1" t="s">
        <v>12</v>
      </c>
      <c r="D139" s="1">
        <v>2203</v>
      </c>
      <c r="E139" s="1">
        <v>97</v>
      </c>
      <c r="F139">
        <v>22.93</v>
      </c>
      <c r="G139">
        <v>1.83</v>
      </c>
      <c r="H139">
        <v>83.3</v>
      </c>
      <c r="I139">
        <v>0.76759999999999995</v>
      </c>
    </row>
    <row r="140" spans="1:9" x14ac:dyDescent="0.3">
      <c r="A140" s="2"/>
      <c r="B140" s="2"/>
      <c r="C140" s="1" t="s">
        <v>13</v>
      </c>
      <c r="D140" s="1">
        <v>935</v>
      </c>
      <c r="E140" s="1">
        <v>53</v>
      </c>
      <c r="F140">
        <v>22.61</v>
      </c>
      <c r="G140">
        <v>4.78</v>
      </c>
      <c r="H140">
        <v>83.71</v>
      </c>
      <c r="I140">
        <v>0.87760000000000005</v>
      </c>
    </row>
    <row r="141" spans="1:9" x14ac:dyDescent="0.3">
      <c r="A141" s="2"/>
      <c r="B141" s="2"/>
      <c r="C141" s="1" t="s">
        <v>14</v>
      </c>
      <c r="D141" s="1">
        <v>1185</v>
      </c>
      <c r="E141" s="1">
        <v>65.5</v>
      </c>
      <c r="F141">
        <v>22.17</v>
      </c>
      <c r="G141">
        <v>3.63</v>
      </c>
      <c r="H141">
        <v>85.94</v>
      </c>
      <c r="I141">
        <v>0.66990000000000005</v>
      </c>
    </row>
    <row r="142" spans="1:9" x14ac:dyDescent="0.3">
      <c r="A142" s="2"/>
      <c r="B142" s="2"/>
      <c r="C142" s="1" t="s">
        <v>15</v>
      </c>
      <c r="D142" s="1">
        <v>1814</v>
      </c>
      <c r="E142" s="1">
        <v>100</v>
      </c>
      <c r="F142">
        <v>22.33</v>
      </c>
      <c r="G142">
        <v>1.48</v>
      </c>
      <c r="H142">
        <v>83.97</v>
      </c>
      <c r="I142">
        <v>0.82630000000000003</v>
      </c>
    </row>
    <row r="143" spans="1:9" x14ac:dyDescent="0.3">
      <c r="A143" s="2"/>
      <c r="B143" s="2"/>
      <c r="C143" s="1" t="s">
        <v>16</v>
      </c>
      <c r="D143" s="1">
        <v>2469</v>
      </c>
      <c r="E143" s="1">
        <v>149.5</v>
      </c>
      <c r="F143">
        <v>21.69</v>
      </c>
      <c r="G143">
        <v>9.4600000000000009</v>
      </c>
      <c r="H143">
        <v>89.16</v>
      </c>
      <c r="I143">
        <v>0.83940000000000003</v>
      </c>
    </row>
    <row r="144" spans="1:9" x14ac:dyDescent="0.3">
      <c r="A144" s="2"/>
      <c r="B144" s="2"/>
      <c r="C144" s="1" t="s">
        <v>17</v>
      </c>
      <c r="D144" s="1">
        <v>1812</v>
      </c>
      <c r="E144" s="1">
        <v>122</v>
      </c>
      <c r="F144">
        <v>21.39</v>
      </c>
      <c r="G144">
        <v>5.44</v>
      </c>
      <c r="H144">
        <v>88.1</v>
      </c>
      <c r="I144">
        <v>0.91180000000000005</v>
      </c>
    </row>
    <row r="145" spans="1:9" x14ac:dyDescent="0.3">
      <c r="A145" s="2"/>
      <c r="B145" s="2"/>
      <c r="C145" s="1" t="s">
        <v>18</v>
      </c>
      <c r="D145" s="1">
        <v>4323</v>
      </c>
      <c r="E145" s="1">
        <v>230</v>
      </c>
      <c r="F145">
        <v>20.87</v>
      </c>
      <c r="G145">
        <v>6.62</v>
      </c>
      <c r="H145">
        <v>88.97</v>
      </c>
      <c r="I145">
        <v>0.84840000000000004</v>
      </c>
    </row>
    <row r="146" spans="1:9" x14ac:dyDescent="0.3">
      <c r="A146" s="2">
        <v>2023</v>
      </c>
      <c r="B146" s="2" t="s">
        <v>19</v>
      </c>
      <c r="C146" s="1" t="s">
        <v>7</v>
      </c>
      <c r="D146" s="1">
        <v>3742</v>
      </c>
      <c r="E146" s="1">
        <v>163</v>
      </c>
      <c r="F146">
        <v>20.09</v>
      </c>
      <c r="G146">
        <v>2.86</v>
      </c>
      <c r="H146">
        <v>88.87</v>
      </c>
      <c r="I146">
        <v>0.81179999999999997</v>
      </c>
    </row>
    <row r="147" spans="1:9" x14ac:dyDescent="0.3">
      <c r="A147" s="2"/>
      <c r="B147" s="2"/>
      <c r="C147" s="1" t="s">
        <v>8</v>
      </c>
      <c r="D147" s="1">
        <v>7020</v>
      </c>
      <c r="E147" s="1">
        <v>261.5</v>
      </c>
      <c r="F147">
        <v>20.94</v>
      </c>
      <c r="G147">
        <v>2.86</v>
      </c>
      <c r="H147">
        <v>88.82</v>
      </c>
      <c r="I147">
        <v>0.81899999999999995</v>
      </c>
    </row>
    <row r="148" spans="1:9" x14ac:dyDescent="0.3">
      <c r="A148" s="2"/>
      <c r="B148" s="2"/>
      <c r="C148" s="1" t="s">
        <v>9</v>
      </c>
      <c r="D148" s="1">
        <v>7084</v>
      </c>
      <c r="E148" s="1">
        <v>262</v>
      </c>
      <c r="F148">
        <v>22.05</v>
      </c>
      <c r="G148">
        <v>2.86</v>
      </c>
      <c r="H148">
        <v>88.13</v>
      </c>
      <c r="I148">
        <v>0.84570000000000001</v>
      </c>
    </row>
    <row r="149" spans="1:9" x14ac:dyDescent="0.3">
      <c r="A149" s="2"/>
      <c r="B149" s="2"/>
      <c r="C149" s="1" t="s">
        <v>10</v>
      </c>
      <c r="D149" s="1">
        <v>7167</v>
      </c>
      <c r="E149" s="1">
        <v>244</v>
      </c>
      <c r="F149">
        <v>23.42</v>
      </c>
      <c r="G149">
        <v>2.86</v>
      </c>
      <c r="H149">
        <v>83.87</v>
      </c>
      <c r="I149">
        <v>0.87629999999999997</v>
      </c>
    </row>
    <row r="150" spans="1:9" x14ac:dyDescent="0.3">
      <c r="A150" s="2"/>
      <c r="B150" s="2"/>
      <c r="C150" s="1" t="s">
        <v>11</v>
      </c>
      <c r="D150" s="1">
        <v>7642</v>
      </c>
      <c r="E150" s="1">
        <v>280.5</v>
      </c>
      <c r="F150">
        <v>23.48</v>
      </c>
      <c r="G150">
        <v>2.86</v>
      </c>
      <c r="H150">
        <v>87.23</v>
      </c>
      <c r="I150">
        <v>0.84360000000000002</v>
      </c>
    </row>
    <row r="151" spans="1:9" x14ac:dyDescent="0.3">
      <c r="A151" s="2"/>
      <c r="B151" s="2"/>
      <c r="C151" s="1" t="s">
        <v>12</v>
      </c>
      <c r="D151" s="1">
        <v>4750</v>
      </c>
      <c r="E151" s="1">
        <v>187</v>
      </c>
      <c r="F151">
        <v>24.11</v>
      </c>
      <c r="G151">
        <v>2.86</v>
      </c>
      <c r="H151">
        <v>79.33</v>
      </c>
      <c r="I151">
        <v>0.69679999999999997</v>
      </c>
    </row>
    <row r="152" spans="1:9" x14ac:dyDescent="0.3">
      <c r="A152" s="2"/>
      <c r="B152" s="2"/>
      <c r="C152" s="1" t="s">
        <v>13</v>
      </c>
      <c r="D152" s="1">
        <v>3563</v>
      </c>
      <c r="E152" s="1">
        <v>160</v>
      </c>
      <c r="F152">
        <v>23.15</v>
      </c>
      <c r="G152">
        <v>2.86</v>
      </c>
      <c r="H152">
        <v>80.319999999999993</v>
      </c>
      <c r="I152">
        <v>0.8226</v>
      </c>
    </row>
    <row r="153" spans="1:9" x14ac:dyDescent="0.3">
      <c r="A153" s="2"/>
      <c r="B153" s="2"/>
      <c r="C153" s="1" t="s">
        <v>14</v>
      </c>
      <c r="D153" s="1">
        <v>3414</v>
      </c>
      <c r="E153" s="1">
        <v>177.5</v>
      </c>
      <c r="F153">
        <v>24.15</v>
      </c>
      <c r="G153">
        <v>2.86</v>
      </c>
      <c r="H153">
        <v>74.97</v>
      </c>
      <c r="I153">
        <v>0.87260000000000004</v>
      </c>
    </row>
    <row r="154" spans="1:9" x14ac:dyDescent="0.3">
      <c r="A154" s="2"/>
      <c r="B154" s="2"/>
      <c r="C154" s="1" t="s">
        <v>15</v>
      </c>
      <c r="D154" s="1">
        <v>3419</v>
      </c>
      <c r="E154" s="1">
        <v>189</v>
      </c>
      <c r="F154">
        <v>22.63</v>
      </c>
      <c r="G154">
        <v>2.86</v>
      </c>
      <c r="H154">
        <v>85.63</v>
      </c>
      <c r="I154">
        <v>0.76890000000000003</v>
      </c>
    </row>
    <row r="155" spans="1:9" x14ac:dyDescent="0.3">
      <c r="A155" s="2"/>
      <c r="B155" s="2"/>
      <c r="C155" s="1" t="s">
        <v>16</v>
      </c>
      <c r="D155" s="1">
        <v>6451</v>
      </c>
      <c r="E155" s="1">
        <v>292.5</v>
      </c>
      <c r="F155">
        <v>22.22</v>
      </c>
      <c r="G155">
        <v>2.86</v>
      </c>
      <c r="H155">
        <v>88.81</v>
      </c>
      <c r="I155">
        <v>0.84440000000000004</v>
      </c>
    </row>
    <row r="156" spans="1:9" x14ac:dyDescent="0.3">
      <c r="A156" s="2"/>
      <c r="B156" s="2"/>
      <c r="C156" s="1" t="s">
        <v>17</v>
      </c>
      <c r="D156" s="1">
        <v>5335</v>
      </c>
      <c r="E156" s="1">
        <v>208.5</v>
      </c>
      <c r="F156">
        <v>22.05</v>
      </c>
      <c r="G156">
        <v>2.86</v>
      </c>
      <c r="H156">
        <v>91.37</v>
      </c>
      <c r="I156">
        <v>0.88019999999999998</v>
      </c>
    </row>
    <row r="157" spans="1:9" x14ac:dyDescent="0.3">
      <c r="A157" s="2"/>
      <c r="B157" s="2"/>
      <c r="C157" s="1" t="s">
        <v>18</v>
      </c>
      <c r="D157" s="1">
        <v>3921</v>
      </c>
      <c r="E157" s="1">
        <v>177.5</v>
      </c>
      <c r="F157">
        <v>21.69</v>
      </c>
      <c r="G157">
        <v>2.86</v>
      </c>
      <c r="H157">
        <v>92.97</v>
      </c>
      <c r="I157">
        <v>0.83760000000000001</v>
      </c>
    </row>
    <row r="158" spans="1:9" x14ac:dyDescent="0.3">
      <c r="A158" s="2"/>
      <c r="B158" s="2" t="s">
        <v>21</v>
      </c>
      <c r="C158" s="1" t="s">
        <v>7</v>
      </c>
      <c r="D158" s="1">
        <v>4029</v>
      </c>
      <c r="E158" s="1">
        <v>191.5</v>
      </c>
      <c r="F158">
        <v>20.09</v>
      </c>
      <c r="G158">
        <v>2.86</v>
      </c>
      <c r="H158">
        <v>88.87</v>
      </c>
      <c r="I158">
        <v>0.81179999999999997</v>
      </c>
    </row>
    <row r="159" spans="1:9" x14ac:dyDescent="0.3">
      <c r="A159" s="2"/>
      <c r="B159" s="2"/>
      <c r="C159" s="1" t="s">
        <v>8</v>
      </c>
      <c r="D159" s="1">
        <v>7066</v>
      </c>
      <c r="E159" s="1">
        <v>304</v>
      </c>
      <c r="F159">
        <v>20.94</v>
      </c>
      <c r="G159">
        <v>2.86</v>
      </c>
      <c r="H159">
        <v>88.82</v>
      </c>
      <c r="I159">
        <v>0.81899999999999995</v>
      </c>
    </row>
    <row r="160" spans="1:9" x14ac:dyDescent="0.3">
      <c r="A160" s="2"/>
      <c r="B160" s="2"/>
      <c r="C160" s="1" t="s">
        <v>9</v>
      </c>
      <c r="D160" s="1">
        <v>6223</v>
      </c>
      <c r="E160" s="1">
        <v>281.5</v>
      </c>
      <c r="F160">
        <v>22.05</v>
      </c>
      <c r="G160">
        <v>2.86</v>
      </c>
      <c r="H160">
        <v>88.13</v>
      </c>
      <c r="I160">
        <v>0.84570000000000001</v>
      </c>
    </row>
    <row r="161" spans="1:9" x14ac:dyDescent="0.3">
      <c r="A161" s="2"/>
      <c r="B161" s="2"/>
      <c r="C161" s="1" t="s">
        <v>10</v>
      </c>
      <c r="D161" s="1">
        <v>9677</v>
      </c>
      <c r="E161" s="1">
        <v>352</v>
      </c>
      <c r="F161">
        <v>23.42</v>
      </c>
      <c r="G161">
        <v>2.86</v>
      </c>
      <c r="H161">
        <v>83.87</v>
      </c>
      <c r="I161">
        <v>0.87629999999999997</v>
      </c>
    </row>
    <row r="162" spans="1:9" x14ac:dyDescent="0.3">
      <c r="A162" s="2"/>
      <c r="B162" s="2"/>
      <c r="C162" s="1" t="s">
        <v>11</v>
      </c>
      <c r="D162" s="1">
        <v>7345</v>
      </c>
      <c r="E162" s="1">
        <v>350</v>
      </c>
      <c r="F162">
        <v>23.48</v>
      </c>
      <c r="G162">
        <v>2.86</v>
      </c>
      <c r="H162">
        <v>87.23</v>
      </c>
      <c r="I162">
        <v>0.84360000000000002</v>
      </c>
    </row>
    <row r="163" spans="1:9" x14ac:dyDescent="0.3">
      <c r="A163" s="2"/>
      <c r="B163" s="2"/>
      <c r="C163" s="1" t="s">
        <v>12</v>
      </c>
      <c r="D163" s="1">
        <v>6521</v>
      </c>
      <c r="E163" s="1">
        <v>263</v>
      </c>
      <c r="F163">
        <v>24.11</v>
      </c>
      <c r="G163">
        <v>2.86</v>
      </c>
      <c r="H163">
        <v>79.33</v>
      </c>
      <c r="I163">
        <v>0.69679999999999997</v>
      </c>
    </row>
    <row r="164" spans="1:9" x14ac:dyDescent="0.3">
      <c r="A164" s="2"/>
      <c r="B164" s="2"/>
      <c r="C164" s="1" t="s">
        <v>13</v>
      </c>
      <c r="D164" s="1">
        <v>4604</v>
      </c>
      <c r="E164" s="1">
        <v>225</v>
      </c>
      <c r="F164">
        <v>23.15</v>
      </c>
      <c r="G164">
        <v>2.86</v>
      </c>
      <c r="H164">
        <v>80.319999999999993</v>
      </c>
      <c r="I164">
        <v>0.8226</v>
      </c>
    </row>
    <row r="165" spans="1:9" x14ac:dyDescent="0.3">
      <c r="A165" s="2"/>
      <c r="B165" s="2"/>
      <c r="C165" s="1" t="s">
        <v>14</v>
      </c>
      <c r="D165" s="1">
        <v>3554</v>
      </c>
      <c r="E165" s="1">
        <v>214</v>
      </c>
      <c r="F165">
        <v>24.15</v>
      </c>
      <c r="G165">
        <v>2.86</v>
      </c>
      <c r="H165">
        <v>74.97</v>
      </c>
      <c r="I165">
        <v>0.87260000000000004</v>
      </c>
    </row>
    <row r="166" spans="1:9" x14ac:dyDescent="0.3">
      <c r="A166" s="2"/>
      <c r="B166" s="2"/>
      <c r="C166" s="1" t="s">
        <v>15</v>
      </c>
      <c r="D166" s="1">
        <v>3233</v>
      </c>
      <c r="E166" s="1">
        <v>182</v>
      </c>
      <c r="F166">
        <v>22.63</v>
      </c>
      <c r="G166">
        <v>2.86</v>
      </c>
      <c r="H166">
        <v>85.63</v>
      </c>
      <c r="I166">
        <v>0.76890000000000003</v>
      </c>
    </row>
    <row r="167" spans="1:9" x14ac:dyDescent="0.3">
      <c r="A167" s="2"/>
      <c r="B167" s="2"/>
      <c r="C167" s="1" t="s">
        <v>16</v>
      </c>
      <c r="D167" s="1">
        <v>5679</v>
      </c>
      <c r="E167" s="1">
        <v>271</v>
      </c>
      <c r="F167">
        <v>22.22</v>
      </c>
      <c r="G167">
        <v>2.86</v>
      </c>
      <c r="H167">
        <v>88.81</v>
      </c>
      <c r="I167">
        <v>0.84440000000000004</v>
      </c>
    </row>
    <row r="168" spans="1:9" x14ac:dyDescent="0.3">
      <c r="A168" s="2"/>
      <c r="B168" s="2"/>
      <c r="C168" s="1" t="s">
        <v>17</v>
      </c>
      <c r="D168" s="1">
        <v>6501</v>
      </c>
      <c r="E168" s="1">
        <v>302</v>
      </c>
      <c r="F168">
        <v>22.05</v>
      </c>
      <c r="G168">
        <v>2.86</v>
      </c>
      <c r="H168">
        <v>91.37</v>
      </c>
      <c r="I168">
        <v>0.88019999999999998</v>
      </c>
    </row>
    <row r="169" spans="1:9" x14ac:dyDescent="0.3">
      <c r="A169" s="2"/>
      <c r="B169" s="2"/>
      <c r="C169" s="1" t="s">
        <v>18</v>
      </c>
      <c r="D169" s="1">
        <v>5238</v>
      </c>
      <c r="E169" s="1">
        <v>234.5</v>
      </c>
      <c r="F169">
        <v>21.69</v>
      </c>
      <c r="G169">
        <v>2.86</v>
      </c>
      <c r="H169">
        <v>92.97</v>
      </c>
      <c r="I169">
        <v>0.83760000000000001</v>
      </c>
    </row>
    <row r="170" spans="1:9" x14ac:dyDescent="0.3">
      <c r="A170" s="2"/>
      <c r="B170" s="2" t="s">
        <v>22</v>
      </c>
      <c r="C170" s="1" t="s">
        <v>7</v>
      </c>
      <c r="D170" s="1">
        <v>6014</v>
      </c>
      <c r="E170" s="1">
        <v>277</v>
      </c>
      <c r="F170">
        <v>20.09</v>
      </c>
      <c r="G170">
        <v>2.86</v>
      </c>
      <c r="H170">
        <v>88.87</v>
      </c>
      <c r="I170">
        <v>0.81179999999999997</v>
      </c>
    </row>
    <row r="171" spans="1:9" x14ac:dyDescent="0.3">
      <c r="A171" s="2"/>
      <c r="B171" s="2"/>
      <c r="C171" s="1" t="s">
        <v>8</v>
      </c>
      <c r="D171" s="1">
        <v>10079</v>
      </c>
      <c r="E171" s="1">
        <v>423.5</v>
      </c>
      <c r="F171">
        <v>20.94</v>
      </c>
      <c r="G171">
        <v>2.86</v>
      </c>
      <c r="H171">
        <v>88.82</v>
      </c>
      <c r="I171">
        <v>0.81899999999999995</v>
      </c>
    </row>
    <row r="172" spans="1:9" x14ac:dyDescent="0.3">
      <c r="A172" s="2"/>
      <c r="B172" s="2"/>
      <c r="C172" s="1" t="s">
        <v>9</v>
      </c>
      <c r="D172" s="1">
        <v>11124</v>
      </c>
      <c r="E172" s="1">
        <v>452</v>
      </c>
      <c r="F172">
        <v>22.05</v>
      </c>
      <c r="G172">
        <v>2.86</v>
      </c>
      <c r="H172">
        <v>88.13</v>
      </c>
      <c r="I172">
        <v>0.84570000000000001</v>
      </c>
    </row>
    <row r="173" spans="1:9" x14ac:dyDescent="0.3">
      <c r="A173" s="2"/>
      <c r="B173" s="2"/>
      <c r="C173" s="1" t="s">
        <v>10</v>
      </c>
      <c r="D173" s="1">
        <v>12863</v>
      </c>
      <c r="E173" s="1">
        <v>420</v>
      </c>
      <c r="F173">
        <v>23.42</v>
      </c>
      <c r="G173">
        <v>2.86</v>
      </c>
      <c r="H173">
        <v>83.87</v>
      </c>
      <c r="I173">
        <v>0.87629999999999997</v>
      </c>
    </row>
    <row r="174" spans="1:9" x14ac:dyDescent="0.3">
      <c r="A174" s="2"/>
      <c r="B174" s="2"/>
      <c r="C174" s="1" t="s">
        <v>11</v>
      </c>
      <c r="D174" s="1">
        <f>12914+17</f>
        <v>12931</v>
      </c>
      <c r="E174" s="1">
        <v>422</v>
      </c>
      <c r="F174">
        <v>23.48</v>
      </c>
      <c r="G174">
        <v>2.86</v>
      </c>
      <c r="H174">
        <v>87.23</v>
      </c>
      <c r="I174">
        <v>0.84360000000000002</v>
      </c>
    </row>
    <row r="175" spans="1:9" x14ac:dyDescent="0.3">
      <c r="A175" s="2"/>
      <c r="B175" s="2"/>
      <c r="C175" s="1" t="s">
        <v>12</v>
      </c>
      <c r="D175" s="1">
        <v>10709</v>
      </c>
      <c r="E175" s="1">
        <v>400</v>
      </c>
      <c r="F175">
        <v>24.11</v>
      </c>
      <c r="G175">
        <v>2.86</v>
      </c>
      <c r="H175">
        <v>79.33</v>
      </c>
      <c r="I175">
        <v>0.69679999999999997</v>
      </c>
    </row>
    <row r="176" spans="1:9" x14ac:dyDescent="0.3">
      <c r="A176" s="2"/>
      <c r="B176" s="2"/>
      <c r="C176" s="1" t="s">
        <v>13</v>
      </c>
      <c r="D176" s="1">
        <v>8285</v>
      </c>
      <c r="E176" s="1">
        <v>289.5</v>
      </c>
      <c r="F176">
        <v>23.15</v>
      </c>
      <c r="G176">
        <v>2.86</v>
      </c>
      <c r="H176">
        <v>80.319999999999993</v>
      </c>
      <c r="I176">
        <v>0.8226</v>
      </c>
    </row>
    <row r="177" spans="1:9" x14ac:dyDescent="0.3">
      <c r="A177" s="2"/>
      <c r="B177" s="2"/>
      <c r="C177" s="1" t="s">
        <v>14</v>
      </c>
      <c r="D177" s="1">
        <v>6535</v>
      </c>
      <c r="E177" s="1">
        <v>245</v>
      </c>
      <c r="F177">
        <v>24.15</v>
      </c>
      <c r="G177">
        <v>2.86</v>
      </c>
      <c r="H177">
        <v>74.97</v>
      </c>
      <c r="I177">
        <v>0.87260000000000004</v>
      </c>
    </row>
    <row r="178" spans="1:9" x14ac:dyDescent="0.3">
      <c r="A178" s="2"/>
      <c r="B178" s="2"/>
      <c r="C178" s="1" t="s">
        <v>15</v>
      </c>
      <c r="D178" s="1">
        <v>6895</v>
      </c>
      <c r="E178" s="1">
        <v>312.5</v>
      </c>
      <c r="F178">
        <v>22.63</v>
      </c>
      <c r="G178">
        <v>2.86</v>
      </c>
      <c r="H178">
        <v>85.63</v>
      </c>
      <c r="I178">
        <v>0.76890000000000003</v>
      </c>
    </row>
    <row r="179" spans="1:9" x14ac:dyDescent="0.3">
      <c r="A179" s="2"/>
      <c r="B179" s="2"/>
      <c r="C179" s="1" t="s">
        <v>16</v>
      </c>
      <c r="D179" s="1">
        <v>9596</v>
      </c>
      <c r="E179" s="1">
        <v>404</v>
      </c>
      <c r="F179">
        <v>22.22</v>
      </c>
      <c r="G179">
        <v>2.86</v>
      </c>
      <c r="H179">
        <v>88.81</v>
      </c>
      <c r="I179">
        <v>0.84440000000000004</v>
      </c>
    </row>
    <row r="180" spans="1:9" x14ac:dyDescent="0.3">
      <c r="A180" s="2"/>
      <c r="B180" s="2"/>
      <c r="C180" s="1" t="s">
        <v>17</v>
      </c>
      <c r="D180" s="1">
        <v>11606</v>
      </c>
      <c r="E180" s="1">
        <v>439</v>
      </c>
      <c r="F180">
        <v>22.05</v>
      </c>
      <c r="G180">
        <v>2.86</v>
      </c>
      <c r="H180">
        <v>91.37</v>
      </c>
      <c r="I180">
        <v>0.88019999999999998</v>
      </c>
    </row>
    <row r="181" spans="1:9" x14ac:dyDescent="0.3">
      <c r="A181" s="2"/>
      <c r="B181" s="2"/>
      <c r="C181" s="1" t="s">
        <v>18</v>
      </c>
      <c r="D181" s="1">
        <v>3836</v>
      </c>
      <c r="E181" s="1">
        <v>189</v>
      </c>
      <c r="F181">
        <v>21.69</v>
      </c>
      <c r="G181">
        <v>2.86</v>
      </c>
      <c r="H181">
        <v>92.97</v>
      </c>
      <c r="I181">
        <v>0.83760000000000001</v>
      </c>
    </row>
    <row r="182" spans="1:9" x14ac:dyDescent="0.3">
      <c r="A182" s="2"/>
      <c r="B182" s="2" t="s">
        <v>23</v>
      </c>
      <c r="C182" s="1" t="s">
        <v>7</v>
      </c>
      <c r="D182" s="1">
        <v>3912</v>
      </c>
      <c r="E182" s="1">
        <v>151.5</v>
      </c>
      <c r="F182">
        <v>20.09</v>
      </c>
      <c r="G182">
        <v>2.86</v>
      </c>
      <c r="H182">
        <v>88.87</v>
      </c>
      <c r="I182">
        <v>0.81179999999999997</v>
      </c>
    </row>
    <row r="183" spans="1:9" x14ac:dyDescent="0.3">
      <c r="A183" s="2"/>
      <c r="B183" s="2"/>
      <c r="C183" s="1" t="s">
        <v>8</v>
      </c>
      <c r="D183" s="1">
        <v>5492</v>
      </c>
      <c r="E183" s="1">
        <v>205</v>
      </c>
      <c r="F183">
        <v>20.94</v>
      </c>
      <c r="G183">
        <v>2.86</v>
      </c>
      <c r="H183">
        <v>88.82</v>
      </c>
      <c r="I183">
        <v>0.81899999999999995</v>
      </c>
    </row>
    <row r="184" spans="1:9" x14ac:dyDescent="0.3">
      <c r="A184" s="2"/>
      <c r="B184" s="2"/>
      <c r="C184" s="1" t="s">
        <v>9</v>
      </c>
      <c r="D184" s="1">
        <v>7222</v>
      </c>
      <c r="E184" s="1">
        <v>261</v>
      </c>
      <c r="F184">
        <v>22.05</v>
      </c>
      <c r="G184">
        <v>2.86</v>
      </c>
      <c r="H184">
        <v>88.13</v>
      </c>
      <c r="I184">
        <v>0.84570000000000001</v>
      </c>
    </row>
    <row r="185" spans="1:9" x14ac:dyDescent="0.3">
      <c r="A185" s="2"/>
      <c r="B185" s="2"/>
      <c r="C185" s="1" t="s">
        <v>10</v>
      </c>
      <c r="D185" s="1">
        <v>7142</v>
      </c>
      <c r="E185" s="1">
        <v>212</v>
      </c>
      <c r="F185">
        <v>23.42</v>
      </c>
      <c r="G185">
        <v>2.86</v>
      </c>
      <c r="H185">
        <v>83.87</v>
      </c>
      <c r="I185">
        <v>0.87629999999999997</v>
      </c>
    </row>
    <row r="186" spans="1:9" x14ac:dyDescent="0.3">
      <c r="A186" s="2"/>
      <c r="B186" s="2"/>
      <c r="C186" s="1" t="s">
        <v>11</v>
      </c>
      <c r="D186" s="1">
        <v>6663</v>
      </c>
      <c r="E186" s="1">
        <v>211</v>
      </c>
      <c r="F186">
        <v>23.48</v>
      </c>
      <c r="G186">
        <v>2.86</v>
      </c>
      <c r="H186">
        <v>87.23</v>
      </c>
      <c r="I186">
        <v>0.84360000000000002</v>
      </c>
    </row>
    <row r="187" spans="1:9" x14ac:dyDescent="0.3">
      <c r="A187" s="2"/>
      <c r="B187" s="2"/>
      <c r="C187" s="1" t="s">
        <v>12</v>
      </c>
      <c r="D187" s="1">
        <v>5586</v>
      </c>
      <c r="E187" s="1">
        <v>209</v>
      </c>
      <c r="F187">
        <v>24.11</v>
      </c>
      <c r="G187">
        <v>2.86</v>
      </c>
      <c r="H187">
        <v>79.33</v>
      </c>
      <c r="I187">
        <v>0.69679999999999997</v>
      </c>
    </row>
    <row r="188" spans="1:9" x14ac:dyDescent="0.3">
      <c r="A188" s="2"/>
      <c r="B188" s="2"/>
      <c r="C188" s="1" t="s">
        <v>13</v>
      </c>
      <c r="D188" s="1">
        <v>4639</v>
      </c>
      <c r="E188" s="1">
        <v>182</v>
      </c>
      <c r="F188">
        <v>23.15</v>
      </c>
      <c r="G188">
        <v>2.86</v>
      </c>
      <c r="H188">
        <v>80.319999999999993</v>
      </c>
      <c r="I188">
        <v>0.8226</v>
      </c>
    </row>
    <row r="189" spans="1:9" x14ac:dyDescent="0.3">
      <c r="A189" s="2"/>
      <c r="B189" s="2"/>
      <c r="C189" s="1" t="s">
        <v>14</v>
      </c>
      <c r="D189" s="1">
        <v>3397</v>
      </c>
      <c r="E189" s="1">
        <v>125</v>
      </c>
      <c r="F189">
        <v>24.15</v>
      </c>
      <c r="G189">
        <v>2.86</v>
      </c>
      <c r="H189">
        <v>74.97</v>
      </c>
      <c r="I189">
        <v>0.87260000000000004</v>
      </c>
    </row>
    <row r="190" spans="1:9" x14ac:dyDescent="0.3">
      <c r="A190" s="2"/>
      <c r="B190" s="2"/>
      <c r="C190" s="1" t="s">
        <v>15</v>
      </c>
      <c r="D190" s="1">
        <v>4791</v>
      </c>
      <c r="E190" s="1">
        <v>172</v>
      </c>
      <c r="F190">
        <v>22.63</v>
      </c>
      <c r="G190">
        <v>2.86</v>
      </c>
      <c r="H190">
        <v>85.63</v>
      </c>
      <c r="I190">
        <v>0.76890000000000003</v>
      </c>
    </row>
    <row r="191" spans="1:9" x14ac:dyDescent="0.3">
      <c r="A191" s="2"/>
      <c r="B191" s="2"/>
      <c r="C191" s="1" t="s">
        <v>16</v>
      </c>
      <c r="D191" s="1">
        <v>5680</v>
      </c>
      <c r="E191" s="1">
        <v>156</v>
      </c>
      <c r="F191">
        <v>22.22</v>
      </c>
      <c r="G191">
        <v>2.86</v>
      </c>
      <c r="H191">
        <v>88.81</v>
      </c>
      <c r="I191">
        <v>0.84440000000000004</v>
      </c>
    </row>
    <row r="192" spans="1:9" x14ac:dyDescent="0.3">
      <c r="A192" s="2"/>
      <c r="B192" s="2"/>
      <c r="C192" s="1" t="s">
        <v>17</v>
      </c>
      <c r="D192" s="1">
        <v>8206</v>
      </c>
      <c r="E192" s="1">
        <v>161</v>
      </c>
      <c r="F192">
        <v>22.05</v>
      </c>
      <c r="G192">
        <v>2.86</v>
      </c>
      <c r="H192">
        <v>91.37</v>
      </c>
      <c r="I192">
        <v>0.88019999999999998</v>
      </c>
    </row>
    <row r="193" spans="1:9" x14ac:dyDescent="0.3">
      <c r="A193" s="2"/>
      <c r="B193" s="2"/>
      <c r="C193" s="1" t="s">
        <v>18</v>
      </c>
      <c r="D193" s="1">
        <v>4705</v>
      </c>
      <c r="E193" s="1">
        <v>116</v>
      </c>
      <c r="F193">
        <v>21.69</v>
      </c>
      <c r="G193">
        <v>2.86</v>
      </c>
      <c r="H193">
        <v>92.97</v>
      </c>
      <c r="I193">
        <v>0.83760000000000001</v>
      </c>
    </row>
    <row r="194" spans="1:9" x14ac:dyDescent="0.3">
      <c r="A194" s="2"/>
      <c r="B194" s="2" t="s">
        <v>24</v>
      </c>
      <c r="C194" s="1" t="s">
        <v>7</v>
      </c>
      <c r="D194" s="1">
        <v>3235</v>
      </c>
      <c r="E194" s="1">
        <v>162</v>
      </c>
      <c r="F194">
        <v>20.09</v>
      </c>
      <c r="G194">
        <v>2.86</v>
      </c>
      <c r="H194">
        <v>88.87</v>
      </c>
      <c r="I194">
        <v>0.81179999999999997</v>
      </c>
    </row>
    <row r="195" spans="1:9" x14ac:dyDescent="0.3">
      <c r="A195" s="2"/>
      <c r="B195" s="2"/>
      <c r="C195" s="1" t="s">
        <v>8</v>
      </c>
      <c r="D195" s="1">
        <v>4087</v>
      </c>
      <c r="E195" s="1">
        <v>182.5</v>
      </c>
      <c r="F195">
        <v>20.94</v>
      </c>
      <c r="G195">
        <v>2.86</v>
      </c>
      <c r="H195">
        <v>88.82</v>
      </c>
      <c r="I195">
        <v>0.81899999999999995</v>
      </c>
    </row>
    <row r="196" spans="1:9" x14ac:dyDescent="0.3">
      <c r="A196" s="2"/>
      <c r="B196" s="2"/>
      <c r="C196" s="1" t="s">
        <v>9</v>
      </c>
      <c r="D196" s="1">
        <v>4262</v>
      </c>
      <c r="E196" s="1">
        <v>192</v>
      </c>
      <c r="F196">
        <v>22.05</v>
      </c>
      <c r="G196">
        <v>2.86</v>
      </c>
      <c r="H196">
        <v>88.13</v>
      </c>
      <c r="I196">
        <v>0.84570000000000001</v>
      </c>
    </row>
    <row r="197" spans="1:9" x14ac:dyDescent="0.3">
      <c r="A197" s="2"/>
      <c r="B197" s="2"/>
      <c r="C197" s="1" t="s">
        <v>10</v>
      </c>
      <c r="D197" s="1">
        <v>6400</v>
      </c>
      <c r="E197" s="1">
        <v>223</v>
      </c>
      <c r="F197">
        <v>23.42</v>
      </c>
      <c r="G197">
        <v>2.86</v>
      </c>
      <c r="H197">
        <v>83.87</v>
      </c>
      <c r="I197">
        <v>0.87629999999999997</v>
      </c>
    </row>
    <row r="198" spans="1:9" x14ac:dyDescent="0.3">
      <c r="A198" s="2"/>
      <c r="B198" s="2"/>
      <c r="C198" s="1" t="s">
        <v>11</v>
      </c>
      <c r="D198" s="1">
        <v>6961</v>
      </c>
      <c r="E198" s="1">
        <v>243</v>
      </c>
      <c r="F198">
        <v>23.48</v>
      </c>
      <c r="G198">
        <v>2.86</v>
      </c>
      <c r="H198">
        <v>87.23</v>
      </c>
      <c r="I198">
        <v>0.84360000000000002</v>
      </c>
    </row>
    <row r="199" spans="1:9" x14ac:dyDescent="0.3">
      <c r="A199" s="2"/>
      <c r="B199" s="2"/>
      <c r="C199" s="1" t="s">
        <v>12</v>
      </c>
      <c r="D199" s="1">
        <v>5615</v>
      </c>
      <c r="E199" s="1">
        <v>234</v>
      </c>
      <c r="F199">
        <v>24.11</v>
      </c>
      <c r="G199">
        <v>2.86</v>
      </c>
      <c r="H199">
        <v>79.33</v>
      </c>
      <c r="I199">
        <v>0.69679999999999997</v>
      </c>
    </row>
    <row r="200" spans="1:9" x14ac:dyDescent="0.3">
      <c r="A200" s="2"/>
      <c r="B200" s="2"/>
      <c r="C200" s="1" t="s">
        <v>13</v>
      </c>
      <c r="D200" s="1">
        <v>3315</v>
      </c>
      <c r="E200" s="1">
        <v>137.5</v>
      </c>
      <c r="F200">
        <v>23.15</v>
      </c>
      <c r="G200">
        <v>2.86</v>
      </c>
      <c r="H200">
        <v>80.319999999999993</v>
      </c>
      <c r="I200">
        <v>0.8226</v>
      </c>
    </row>
    <row r="201" spans="1:9" x14ac:dyDescent="0.3">
      <c r="A201" s="2"/>
      <c r="B201" s="2"/>
      <c r="C201" s="1" t="s">
        <v>14</v>
      </c>
      <c r="D201" s="1">
        <v>3440</v>
      </c>
      <c r="E201" s="1">
        <v>122</v>
      </c>
      <c r="F201">
        <v>24.15</v>
      </c>
      <c r="G201">
        <v>2.86</v>
      </c>
      <c r="H201">
        <v>74.97</v>
      </c>
      <c r="I201">
        <v>0.87260000000000004</v>
      </c>
    </row>
    <row r="202" spans="1:9" x14ac:dyDescent="0.3">
      <c r="A202" s="2"/>
      <c r="B202" s="2"/>
      <c r="C202" s="1" t="s">
        <v>15</v>
      </c>
      <c r="D202" s="1">
        <v>6092</v>
      </c>
      <c r="E202" s="1">
        <v>231</v>
      </c>
      <c r="F202">
        <v>22.63</v>
      </c>
      <c r="G202">
        <v>2.86</v>
      </c>
      <c r="H202">
        <v>85.63</v>
      </c>
      <c r="I202">
        <v>0.76890000000000003</v>
      </c>
    </row>
    <row r="203" spans="1:9" x14ac:dyDescent="0.3">
      <c r="A203" s="2"/>
      <c r="B203" s="2"/>
      <c r="C203" s="1" t="s">
        <v>16</v>
      </c>
      <c r="D203" s="1">
        <v>7122</v>
      </c>
      <c r="E203" s="1">
        <v>273.5</v>
      </c>
      <c r="F203">
        <v>22.22</v>
      </c>
      <c r="G203">
        <v>2.86</v>
      </c>
      <c r="H203">
        <v>88.81</v>
      </c>
      <c r="I203">
        <v>0.84440000000000004</v>
      </c>
    </row>
    <row r="204" spans="1:9" x14ac:dyDescent="0.3">
      <c r="A204" s="2"/>
      <c r="B204" s="2"/>
      <c r="C204" s="1" t="s">
        <v>17</v>
      </c>
      <c r="D204" s="1">
        <v>9305</v>
      </c>
      <c r="E204" s="1">
        <v>283</v>
      </c>
      <c r="F204">
        <v>22.05</v>
      </c>
      <c r="G204">
        <v>2.86</v>
      </c>
      <c r="H204">
        <v>91.37</v>
      </c>
      <c r="I204">
        <v>0.88019999999999998</v>
      </c>
    </row>
    <row r="205" spans="1:9" x14ac:dyDescent="0.3">
      <c r="A205" s="2"/>
      <c r="B205" s="2"/>
      <c r="C205" s="1" t="s">
        <v>18</v>
      </c>
      <c r="D205" s="1">
        <v>3806</v>
      </c>
      <c r="E205" s="1">
        <v>153.5</v>
      </c>
      <c r="F205">
        <v>21.69</v>
      </c>
      <c r="G205">
        <v>2.86</v>
      </c>
      <c r="H205">
        <v>92.97</v>
      </c>
      <c r="I205">
        <v>0.83760000000000001</v>
      </c>
    </row>
    <row r="206" spans="1:9" x14ac:dyDescent="0.3">
      <c r="A206" s="2"/>
      <c r="B206" s="2" t="s">
        <v>25</v>
      </c>
      <c r="C206" s="1" t="s">
        <v>7</v>
      </c>
      <c r="D206" s="1">
        <v>2040</v>
      </c>
      <c r="E206" s="1">
        <v>114</v>
      </c>
      <c r="F206">
        <v>20.09</v>
      </c>
      <c r="G206">
        <v>2.86</v>
      </c>
      <c r="H206">
        <v>88.87</v>
      </c>
      <c r="I206">
        <v>0.81179999999999997</v>
      </c>
    </row>
    <row r="207" spans="1:9" x14ac:dyDescent="0.3">
      <c r="A207" s="2"/>
      <c r="B207" s="2"/>
      <c r="C207" s="1" t="s">
        <v>8</v>
      </c>
      <c r="D207" s="1">
        <v>2516</v>
      </c>
      <c r="E207" s="1">
        <v>134</v>
      </c>
      <c r="F207">
        <v>20.94</v>
      </c>
      <c r="G207">
        <v>2.86</v>
      </c>
      <c r="H207">
        <v>88.82</v>
      </c>
      <c r="I207">
        <v>0.81899999999999995</v>
      </c>
    </row>
    <row r="208" spans="1:9" x14ac:dyDescent="0.3">
      <c r="A208" s="2"/>
      <c r="B208" s="2"/>
      <c r="C208" s="1" t="s">
        <v>9</v>
      </c>
      <c r="D208" s="1">
        <v>3323</v>
      </c>
      <c r="E208" s="1">
        <v>189</v>
      </c>
      <c r="F208">
        <v>22.05</v>
      </c>
      <c r="G208">
        <v>2.86</v>
      </c>
      <c r="H208">
        <v>88.13</v>
      </c>
      <c r="I208">
        <v>0.84570000000000001</v>
      </c>
    </row>
    <row r="209" spans="1:9" x14ac:dyDescent="0.3">
      <c r="A209" s="2"/>
      <c r="B209" s="2"/>
      <c r="C209" s="1" t="s">
        <v>10</v>
      </c>
      <c r="D209" s="1">
        <v>2874</v>
      </c>
      <c r="E209" s="1">
        <v>133</v>
      </c>
      <c r="F209">
        <v>23.42</v>
      </c>
      <c r="G209">
        <v>2.86</v>
      </c>
      <c r="H209">
        <v>83.87</v>
      </c>
      <c r="I209">
        <v>0.87629999999999997</v>
      </c>
    </row>
    <row r="210" spans="1:9" x14ac:dyDescent="0.3">
      <c r="A210" s="2"/>
      <c r="B210" s="2"/>
      <c r="C210" s="1" t="s">
        <v>11</v>
      </c>
      <c r="D210" s="1">
        <v>3280</v>
      </c>
      <c r="E210" s="1">
        <v>161</v>
      </c>
      <c r="F210">
        <v>23.48</v>
      </c>
      <c r="G210">
        <v>2.86</v>
      </c>
      <c r="H210">
        <v>87.23</v>
      </c>
      <c r="I210">
        <v>0.84360000000000002</v>
      </c>
    </row>
    <row r="211" spans="1:9" x14ac:dyDescent="0.3">
      <c r="A211" s="2"/>
      <c r="B211" s="2"/>
      <c r="C211" s="1" t="s">
        <v>12</v>
      </c>
      <c r="D211" s="1">
        <v>2234</v>
      </c>
      <c r="E211" s="1">
        <v>125.5</v>
      </c>
      <c r="F211">
        <v>24.11</v>
      </c>
      <c r="G211">
        <v>2.86</v>
      </c>
      <c r="H211">
        <v>79.33</v>
      </c>
      <c r="I211">
        <v>0.69679999999999997</v>
      </c>
    </row>
    <row r="212" spans="1:9" x14ac:dyDescent="0.3">
      <c r="A212" s="2"/>
      <c r="B212" s="2"/>
      <c r="C212" s="1" t="s">
        <v>13</v>
      </c>
      <c r="D212" s="1">
        <v>1872</v>
      </c>
      <c r="E212" s="1">
        <v>113</v>
      </c>
      <c r="F212">
        <v>23.15</v>
      </c>
      <c r="G212">
        <v>2.86</v>
      </c>
      <c r="H212">
        <v>80.319999999999993</v>
      </c>
      <c r="I212">
        <v>0.8226</v>
      </c>
    </row>
    <row r="213" spans="1:9" x14ac:dyDescent="0.3">
      <c r="A213" s="2"/>
      <c r="B213" s="2"/>
      <c r="C213" s="1" t="s">
        <v>14</v>
      </c>
      <c r="D213" s="1">
        <v>667</v>
      </c>
      <c r="E213" s="1">
        <v>42</v>
      </c>
      <c r="F213">
        <v>24.15</v>
      </c>
      <c r="G213">
        <v>2.86</v>
      </c>
      <c r="H213">
        <v>74.97</v>
      </c>
      <c r="I213">
        <v>0.87260000000000004</v>
      </c>
    </row>
    <row r="214" spans="1:9" x14ac:dyDescent="0.3">
      <c r="A214" s="2"/>
      <c r="B214" s="2"/>
      <c r="C214" s="1" t="s">
        <v>15</v>
      </c>
      <c r="D214" s="1">
        <v>2121</v>
      </c>
      <c r="E214" s="1">
        <v>116</v>
      </c>
      <c r="F214">
        <v>22.63</v>
      </c>
      <c r="G214">
        <v>2.86</v>
      </c>
      <c r="H214">
        <v>85.63</v>
      </c>
      <c r="I214">
        <v>0.76890000000000003</v>
      </c>
    </row>
    <row r="215" spans="1:9" x14ac:dyDescent="0.3">
      <c r="A215" s="2"/>
      <c r="B215" s="2"/>
      <c r="C215" s="1" t="s">
        <v>16</v>
      </c>
      <c r="D215" s="1">
        <v>2119</v>
      </c>
      <c r="E215" s="1">
        <v>118.5</v>
      </c>
      <c r="F215">
        <v>22.22</v>
      </c>
      <c r="G215">
        <v>2.86</v>
      </c>
      <c r="H215">
        <v>88.81</v>
      </c>
      <c r="I215">
        <v>0.84440000000000004</v>
      </c>
    </row>
    <row r="216" spans="1:9" x14ac:dyDescent="0.3">
      <c r="A216" s="2"/>
      <c r="B216" s="2"/>
      <c r="C216" s="1" t="s">
        <v>17</v>
      </c>
      <c r="D216" s="1">
        <v>3492</v>
      </c>
      <c r="E216" s="1">
        <v>192</v>
      </c>
      <c r="F216">
        <v>22.05</v>
      </c>
      <c r="G216">
        <v>2.86</v>
      </c>
      <c r="H216">
        <v>91.37</v>
      </c>
      <c r="I216">
        <v>0.88019999999999998</v>
      </c>
    </row>
    <row r="217" spans="1:9" x14ac:dyDescent="0.3">
      <c r="A217" s="2"/>
      <c r="B217" s="2"/>
      <c r="C217" s="1" t="s">
        <v>18</v>
      </c>
      <c r="D217" s="1">
        <v>2687</v>
      </c>
      <c r="E217" s="1">
        <v>141</v>
      </c>
      <c r="F217">
        <v>21.69</v>
      </c>
      <c r="G217">
        <v>2.86</v>
      </c>
      <c r="H217">
        <v>92.97</v>
      </c>
      <c r="I217">
        <v>0.83760000000000001</v>
      </c>
    </row>
    <row r="218" spans="1:9" x14ac:dyDescent="0.3">
      <c r="A218" s="2">
        <v>2024</v>
      </c>
      <c r="B218" s="2" t="s">
        <v>19</v>
      </c>
      <c r="C218" s="1" t="s">
        <v>7</v>
      </c>
      <c r="D218" s="1">
        <v>3414</v>
      </c>
      <c r="E218" s="1">
        <v>178</v>
      </c>
      <c r="F218">
        <v>21.29</v>
      </c>
      <c r="G218">
        <v>2.86</v>
      </c>
      <c r="H218">
        <v>90.71</v>
      </c>
      <c r="I218">
        <v>0.86729999999999996</v>
      </c>
    </row>
    <row r="219" spans="1:9" x14ac:dyDescent="0.3">
      <c r="A219" s="2"/>
      <c r="B219" s="2"/>
      <c r="C219" s="1" t="s">
        <v>8</v>
      </c>
      <c r="D219" s="1">
        <v>6718</v>
      </c>
      <c r="E219" s="1">
        <v>263</v>
      </c>
      <c r="F219">
        <v>22.06</v>
      </c>
      <c r="G219">
        <v>2.86</v>
      </c>
      <c r="H219">
        <v>87.17</v>
      </c>
      <c r="I219">
        <v>0.84799999999999998</v>
      </c>
    </row>
    <row r="220" spans="1:9" x14ac:dyDescent="0.3">
      <c r="A220" s="2"/>
      <c r="B220" s="2"/>
      <c r="C220" s="1" t="s">
        <v>9</v>
      </c>
      <c r="D220" s="1">
        <v>6310</v>
      </c>
      <c r="E220" s="1">
        <v>286</v>
      </c>
      <c r="F220">
        <v>23.27</v>
      </c>
      <c r="G220">
        <v>2.86</v>
      </c>
      <c r="H220">
        <v>77.650000000000006</v>
      </c>
      <c r="I220">
        <v>0.83299999999999996</v>
      </c>
    </row>
    <row r="221" spans="1:9" x14ac:dyDescent="0.3">
      <c r="A221" s="2"/>
      <c r="B221" s="2"/>
      <c r="C221" s="1" t="s">
        <v>10</v>
      </c>
      <c r="D221" s="1">
        <v>4910</v>
      </c>
      <c r="E221" s="1">
        <v>218</v>
      </c>
      <c r="F221">
        <v>25.05</v>
      </c>
      <c r="G221">
        <v>2.86</v>
      </c>
      <c r="H221">
        <v>78.03</v>
      </c>
      <c r="I221">
        <v>0.79600000000000004</v>
      </c>
    </row>
    <row r="222" spans="1:9" x14ac:dyDescent="0.3">
      <c r="A222" s="2"/>
      <c r="B222" s="2"/>
      <c r="C222" s="1" t="s">
        <v>11</v>
      </c>
      <c r="D222" s="1">
        <v>5184</v>
      </c>
      <c r="E222" s="1">
        <v>251.5</v>
      </c>
      <c r="F222">
        <v>24.23</v>
      </c>
      <c r="G222">
        <v>2.86</v>
      </c>
      <c r="H222">
        <v>86.23</v>
      </c>
      <c r="I222">
        <v>0.84199999999999997</v>
      </c>
    </row>
    <row r="223" spans="1:9" x14ac:dyDescent="0.3">
      <c r="A223" s="2"/>
      <c r="B223" s="2"/>
      <c r="C223" s="1" t="s">
        <v>12</v>
      </c>
      <c r="D223" s="1">
        <v>6401</v>
      </c>
      <c r="E223" s="1">
        <v>267</v>
      </c>
      <c r="F223">
        <v>23.15</v>
      </c>
      <c r="G223">
        <v>2.86</v>
      </c>
      <c r="H223">
        <v>86.9</v>
      </c>
      <c r="I223">
        <v>0.85840000000000005</v>
      </c>
    </row>
    <row r="224" spans="1:9" x14ac:dyDescent="0.3">
      <c r="A224" s="2"/>
      <c r="B224" s="2"/>
      <c r="C224" s="1" t="s">
        <v>13</v>
      </c>
      <c r="D224" s="1">
        <v>8837</v>
      </c>
      <c r="E224" s="1">
        <v>345</v>
      </c>
      <c r="F224">
        <v>23.22</v>
      </c>
      <c r="G224">
        <v>2.86</v>
      </c>
      <c r="H224">
        <v>83.71</v>
      </c>
      <c r="I224">
        <v>0.85470000000000002</v>
      </c>
    </row>
    <row r="225" spans="1:9" x14ac:dyDescent="0.3">
      <c r="A225" s="2"/>
      <c r="B225" s="2"/>
      <c r="C225" s="1" t="s">
        <v>14</v>
      </c>
      <c r="D225" s="1">
        <v>6043</v>
      </c>
      <c r="E225" s="1">
        <v>245</v>
      </c>
      <c r="F225">
        <v>22.92</v>
      </c>
      <c r="G225">
        <v>2.86</v>
      </c>
      <c r="H225">
        <v>85.1</v>
      </c>
      <c r="I225">
        <v>0.47360000000000002</v>
      </c>
    </row>
    <row r="226" spans="1:9" x14ac:dyDescent="0.3">
      <c r="A226" s="2"/>
      <c r="B226" s="2"/>
      <c r="C226" s="1" t="s">
        <v>15</v>
      </c>
      <c r="D226" s="1">
        <v>8083</v>
      </c>
      <c r="E226" s="1">
        <v>322</v>
      </c>
      <c r="F226">
        <v>23.35</v>
      </c>
      <c r="G226">
        <v>2.86</v>
      </c>
      <c r="H226">
        <v>81.47</v>
      </c>
      <c r="I226">
        <v>0.91810000000000003</v>
      </c>
    </row>
    <row r="227" spans="1:9" x14ac:dyDescent="0.3">
      <c r="A227" s="2"/>
      <c r="B227" s="2"/>
      <c r="C227" s="1" t="s">
        <v>16</v>
      </c>
      <c r="D227" s="1">
        <v>4127</v>
      </c>
      <c r="E227" s="1">
        <v>175</v>
      </c>
      <c r="F227">
        <v>22.42</v>
      </c>
      <c r="G227">
        <v>2.86</v>
      </c>
      <c r="H227">
        <v>88.1</v>
      </c>
      <c r="I227">
        <v>0.84399999999999997</v>
      </c>
    </row>
    <row r="228" spans="1:9" x14ac:dyDescent="0.3">
      <c r="A228" s="2"/>
      <c r="B228" s="2"/>
      <c r="C228" s="1" t="s">
        <v>17</v>
      </c>
      <c r="D228" s="1">
        <v>7582</v>
      </c>
      <c r="E228" s="1">
        <v>299.5</v>
      </c>
      <c r="F228">
        <v>21.73</v>
      </c>
      <c r="G228">
        <v>2.86</v>
      </c>
      <c r="H228">
        <v>92.03</v>
      </c>
      <c r="I228">
        <v>0.85419999999999996</v>
      </c>
    </row>
    <row r="229" spans="1:9" x14ac:dyDescent="0.3">
      <c r="A229" s="2"/>
      <c r="B229" s="2"/>
      <c r="C229" s="1" t="s">
        <v>18</v>
      </c>
      <c r="D229" s="1">
        <v>7368</v>
      </c>
      <c r="E229" s="1">
        <v>243</v>
      </c>
      <c r="F229">
        <v>21.79</v>
      </c>
      <c r="G229">
        <v>2.86</v>
      </c>
      <c r="H229">
        <v>88.45</v>
      </c>
      <c r="I229">
        <v>0.85040000000000004</v>
      </c>
    </row>
    <row r="230" spans="1:9" x14ac:dyDescent="0.3">
      <c r="A230" s="2"/>
      <c r="B230" s="2" t="s">
        <v>21</v>
      </c>
      <c r="C230" s="1" t="s">
        <v>7</v>
      </c>
      <c r="D230" s="1">
        <v>3563</v>
      </c>
      <c r="E230" s="1">
        <v>183</v>
      </c>
      <c r="F230">
        <v>21.29</v>
      </c>
      <c r="G230">
        <v>2.86</v>
      </c>
      <c r="H230">
        <v>90.71</v>
      </c>
      <c r="I230">
        <v>0.86729999999999996</v>
      </c>
    </row>
    <row r="231" spans="1:9" x14ac:dyDescent="0.3">
      <c r="A231" s="2"/>
      <c r="B231" s="2"/>
      <c r="C231" s="1" t="s">
        <v>8</v>
      </c>
      <c r="D231" s="1">
        <v>6501</v>
      </c>
      <c r="E231" s="1">
        <v>277.5</v>
      </c>
      <c r="F231">
        <v>22.06</v>
      </c>
      <c r="G231">
        <v>2.86</v>
      </c>
      <c r="H231">
        <v>87.17</v>
      </c>
      <c r="I231">
        <v>0.84799999999999998</v>
      </c>
    </row>
    <row r="232" spans="1:9" x14ac:dyDescent="0.3">
      <c r="A232" s="2"/>
      <c r="B232" s="2"/>
      <c r="C232" s="1" t="s">
        <v>9</v>
      </c>
      <c r="D232" s="1">
        <v>5399</v>
      </c>
      <c r="E232" s="1">
        <v>254</v>
      </c>
      <c r="F232">
        <v>23.27</v>
      </c>
      <c r="G232">
        <v>2.86</v>
      </c>
      <c r="H232">
        <v>77.650000000000006</v>
      </c>
      <c r="I232">
        <v>0.83299999999999996</v>
      </c>
    </row>
    <row r="233" spans="1:9" x14ac:dyDescent="0.3">
      <c r="A233" s="2"/>
      <c r="B233" s="2"/>
      <c r="C233" s="1" t="s">
        <v>10</v>
      </c>
      <c r="D233" s="1">
        <v>4969</v>
      </c>
      <c r="E233" s="1">
        <v>215</v>
      </c>
      <c r="F233">
        <v>25.05</v>
      </c>
      <c r="G233">
        <v>2.86</v>
      </c>
      <c r="H233">
        <v>78.03</v>
      </c>
      <c r="I233">
        <v>0.79600000000000004</v>
      </c>
    </row>
    <row r="234" spans="1:9" x14ac:dyDescent="0.3">
      <c r="A234" s="2"/>
      <c r="B234" s="2"/>
      <c r="C234" s="1" t="s">
        <v>11</v>
      </c>
      <c r="D234" s="1">
        <v>3535</v>
      </c>
      <c r="E234" s="1">
        <v>182</v>
      </c>
      <c r="F234">
        <v>24.23</v>
      </c>
      <c r="G234">
        <v>2.86</v>
      </c>
      <c r="H234">
        <v>86.23</v>
      </c>
      <c r="I234">
        <v>0.84199999999999997</v>
      </c>
    </row>
    <row r="235" spans="1:9" x14ac:dyDescent="0.3">
      <c r="A235" s="2"/>
      <c r="B235" s="2"/>
      <c r="C235" s="1" t="s">
        <v>12</v>
      </c>
      <c r="D235" s="1">
        <v>4857</v>
      </c>
      <c r="E235" s="1">
        <v>242</v>
      </c>
      <c r="F235">
        <v>23.15</v>
      </c>
      <c r="G235">
        <v>2.86</v>
      </c>
      <c r="H235">
        <v>86.9</v>
      </c>
      <c r="I235">
        <v>0.85840000000000005</v>
      </c>
    </row>
    <row r="236" spans="1:9" x14ac:dyDescent="0.3">
      <c r="A236" s="2"/>
      <c r="B236" s="2"/>
      <c r="C236" s="1" t="s">
        <v>13</v>
      </c>
      <c r="D236" s="1">
        <v>4778</v>
      </c>
      <c r="E236" s="1">
        <v>213.5</v>
      </c>
      <c r="F236">
        <v>23.22</v>
      </c>
      <c r="G236">
        <v>2.86</v>
      </c>
      <c r="H236">
        <v>83.71</v>
      </c>
      <c r="I236">
        <v>0.85470000000000002</v>
      </c>
    </row>
    <row r="237" spans="1:9" x14ac:dyDescent="0.3">
      <c r="A237" s="2"/>
      <c r="B237" s="2"/>
      <c r="C237" s="1" t="s">
        <v>14</v>
      </c>
      <c r="D237" s="1">
        <v>5299</v>
      </c>
      <c r="E237" s="1">
        <v>270</v>
      </c>
      <c r="F237">
        <v>22.92</v>
      </c>
      <c r="G237">
        <v>2.86</v>
      </c>
      <c r="H237">
        <v>85.1</v>
      </c>
      <c r="I237">
        <v>0.47360000000000002</v>
      </c>
    </row>
    <row r="238" spans="1:9" x14ac:dyDescent="0.3">
      <c r="A238" s="2"/>
      <c r="B238" s="2"/>
      <c r="C238" s="1" t="s">
        <v>15</v>
      </c>
      <c r="D238" s="1">
        <v>6278</v>
      </c>
      <c r="E238" s="1">
        <v>291</v>
      </c>
      <c r="F238">
        <v>23.35</v>
      </c>
      <c r="G238">
        <v>2.86</v>
      </c>
      <c r="H238">
        <v>81.47</v>
      </c>
      <c r="I238">
        <v>0.91810000000000003</v>
      </c>
    </row>
    <row r="239" spans="1:9" x14ac:dyDescent="0.3">
      <c r="A239" s="2"/>
      <c r="B239" s="2"/>
      <c r="C239" s="1" t="s">
        <v>16</v>
      </c>
      <c r="D239" s="1">
        <v>4593</v>
      </c>
      <c r="E239" s="1">
        <v>193</v>
      </c>
      <c r="F239">
        <v>22.42</v>
      </c>
      <c r="G239">
        <v>2.86</v>
      </c>
      <c r="H239">
        <v>88.1</v>
      </c>
      <c r="I239">
        <v>0.84399999999999997</v>
      </c>
    </row>
    <row r="240" spans="1:9" x14ac:dyDescent="0.3">
      <c r="A240" s="2"/>
      <c r="B240" s="2"/>
      <c r="C240" s="1" t="s">
        <v>17</v>
      </c>
      <c r="D240" s="1">
        <v>6450</v>
      </c>
      <c r="E240" s="1">
        <v>220</v>
      </c>
      <c r="F240">
        <v>21.73</v>
      </c>
      <c r="G240">
        <v>2.86</v>
      </c>
      <c r="H240">
        <v>92.03</v>
      </c>
      <c r="I240">
        <v>0.85419999999999996</v>
      </c>
    </row>
    <row r="241" spans="1:9" x14ac:dyDescent="0.3">
      <c r="A241" s="2"/>
      <c r="B241" s="2"/>
      <c r="C241" s="1" t="s">
        <v>18</v>
      </c>
      <c r="D241" s="1">
        <v>6316</v>
      </c>
      <c r="E241" s="1">
        <f>248+7</f>
        <v>255</v>
      </c>
      <c r="F241">
        <v>21.79</v>
      </c>
      <c r="G241">
        <v>2.86</v>
      </c>
      <c r="H241">
        <v>88.45</v>
      </c>
      <c r="I241">
        <v>0.85040000000000004</v>
      </c>
    </row>
    <row r="242" spans="1:9" x14ac:dyDescent="0.3">
      <c r="A242" s="2"/>
      <c r="B242" s="2" t="s">
        <v>22</v>
      </c>
      <c r="C242" s="1" t="s">
        <v>7</v>
      </c>
      <c r="D242" s="1">
        <v>6658</v>
      </c>
      <c r="E242" s="1">
        <v>322</v>
      </c>
      <c r="F242">
        <v>21.29</v>
      </c>
      <c r="G242">
        <v>2.86</v>
      </c>
      <c r="H242">
        <v>90.71</v>
      </c>
      <c r="I242">
        <v>0.86729999999999996</v>
      </c>
    </row>
    <row r="243" spans="1:9" x14ac:dyDescent="0.3">
      <c r="A243" s="2"/>
      <c r="B243" s="2"/>
      <c r="C243" s="1" t="s">
        <v>8</v>
      </c>
      <c r="D243" s="1">
        <v>11116</v>
      </c>
      <c r="E243" s="1">
        <v>447</v>
      </c>
      <c r="F243">
        <v>22.06</v>
      </c>
      <c r="G243">
        <v>2.86</v>
      </c>
      <c r="H243">
        <v>87.17</v>
      </c>
      <c r="I243">
        <v>0.84799999999999998</v>
      </c>
    </row>
    <row r="244" spans="1:9" x14ac:dyDescent="0.3">
      <c r="A244" s="2"/>
      <c r="B244" s="2"/>
      <c r="C244" s="1" t="s">
        <v>9</v>
      </c>
      <c r="D244" s="1">
        <v>10200</v>
      </c>
      <c r="E244" s="1">
        <v>398</v>
      </c>
      <c r="F244">
        <v>23.27</v>
      </c>
      <c r="G244">
        <v>2.86</v>
      </c>
      <c r="H244">
        <v>77.650000000000006</v>
      </c>
      <c r="I244">
        <v>0.83299999999999996</v>
      </c>
    </row>
    <row r="245" spans="1:9" x14ac:dyDescent="0.3">
      <c r="A245" s="2"/>
      <c r="B245" s="2"/>
      <c r="C245" s="1" t="s">
        <v>10</v>
      </c>
      <c r="D245" s="1">
        <v>10483</v>
      </c>
      <c r="E245" s="1">
        <v>388</v>
      </c>
      <c r="F245">
        <v>25.05</v>
      </c>
      <c r="G245">
        <v>2.86</v>
      </c>
      <c r="H245">
        <v>78.03</v>
      </c>
      <c r="I245">
        <v>0.79600000000000004</v>
      </c>
    </row>
    <row r="246" spans="1:9" x14ac:dyDescent="0.3">
      <c r="A246" s="2"/>
      <c r="B246" s="2"/>
      <c r="C246" s="1" t="s">
        <v>11</v>
      </c>
      <c r="D246" s="1">
        <v>8112</v>
      </c>
      <c r="E246" s="1">
        <v>349</v>
      </c>
      <c r="F246">
        <v>24.23</v>
      </c>
      <c r="G246">
        <v>2.86</v>
      </c>
      <c r="H246">
        <v>86.23</v>
      </c>
      <c r="I246">
        <v>0.84199999999999997</v>
      </c>
    </row>
    <row r="247" spans="1:9" x14ac:dyDescent="0.3">
      <c r="A247" s="2"/>
      <c r="B247" s="2"/>
      <c r="C247" s="1" t="s">
        <v>12</v>
      </c>
      <c r="D247" s="1">
        <v>8932</v>
      </c>
      <c r="E247" s="1">
        <v>358.5</v>
      </c>
      <c r="F247">
        <v>23.15</v>
      </c>
      <c r="G247">
        <v>2.86</v>
      </c>
      <c r="H247">
        <v>86.9</v>
      </c>
      <c r="I247">
        <v>0.85840000000000005</v>
      </c>
    </row>
    <row r="248" spans="1:9" x14ac:dyDescent="0.3">
      <c r="A248" s="2"/>
      <c r="B248" s="2"/>
      <c r="C248" s="1" t="s">
        <v>13</v>
      </c>
      <c r="D248" s="1">
        <v>9347</v>
      </c>
      <c r="E248" s="1">
        <v>405.5</v>
      </c>
      <c r="F248">
        <v>23.22</v>
      </c>
      <c r="G248">
        <v>2.86</v>
      </c>
      <c r="H248">
        <v>83.71</v>
      </c>
      <c r="I248">
        <v>0.85470000000000002</v>
      </c>
    </row>
    <row r="249" spans="1:9" x14ac:dyDescent="0.3">
      <c r="A249" s="2"/>
      <c r="B249" s="2"/>
      <c r="C249" s="1" t="s">
        <v>14</v>
      </c>
      <c r="D249" s="1">
        <v>6333</v>
      </c>
      <c r="E249" s="1">
        <v>252</v>
      </c>
      <c r="F249">
        <v>22.92</v>
      </c>
      <c r="G249">
        <v>2.86</v>
      </c>
      <c r="H249">
        <v>85.1</v>
      </c>
      <c r="I249">
        <v>0.47360000000000002</v>
      </c>
    </row>
    <row r="250" spans="1:9" x14ac:dyDescent="0.3">
      <c r="A250" s="2"/>
      <c r="B250" s="2"/>
      <c r="C250" s="1" t="s">
        <v>15</v>
      </c>
      <c r="D250" s="1">
        <v>9386</v>
      </c>
      <c r="E250" s="1">
        <v>300</v>
      </c>
      <c r="F250">
        <v>23.35</v>
      </c>
      <c r="G250">
        <v>2.86</v>
      </c>
      <c r="H250">
        <v>81.47</v>
      </c>
      <c r="I250">
        <v>0.91810000000000003</v>
      </c>
    </row>
    <row r="251" spans="1:9" x14ac:dyDescent="0.3">
      <c r="A251" s="2"/>
      <c r="B251" s="2"/>
      <c r="C251" s="1" t="s">
        <v>16</v>
      </c>
      <c r="D251" s="1">
        <v>5179</v>
      </c>
      <c r="E251" s="1">
        <v>247</v>
      </c>
      <c r="F251">
        <v>22.42</v>
      </c>
      <c r="G251">
        <v>2.86</v>
      </c>
      <c r="H251">
        <v>88.1</v>
      </c>
      <c r="I251">
        <v>0.84399999999999997</v>
      </c>
    </row>
    <row r="252" spans="1:9" x14ac:dyDescent="0.3">
      <c r="A252" s="2"/>
      <c r="B252" s="2"/>
      <c r="C252" s="1" t="s">
        <v>17</v>
      </c>
      <c r="D252" s="1">
        <v>9352</v>
      </c>
      <c r="E252" s="1">
        <v>305</v>
      </c>
      <c r="F252">
        <v>21.73</v>
      </c>
      <c r="G252">
        <v>2.86</v>
      </c>
      <c r="H252">
        <v>92.03</v>
      </c>
      <c r="I252">
        <v>0.85419999999999996</v>
      </c>
    </row>
    <row r="253" spans="1:9" x14ac:dyDescent="0.3">
      <c r="A253" s="2"/>
      <c r="B253" s="2"/>
      <c r="C253" s="1" t="s">
        <v>18</v>
      </c>
      <c r="D253" s="1">
        <v>6957</v>
      </c>
      <c r="E253" s="1">
        <v>298</v>
      </c>
      <c r="F253">
        <v>21.79</v>
      </c>
      <c r="G253">
        <v>2.86</v>
      </c>
      <c r="H253">
        <v>88.45</v>
      </c>
      <c r="I253">
        <v>0.85040000000000004</v>
      </c>
    </row>
    <row r="254" spans="1:9" x14ac:dyDescent="0.3">
      <c r="A254" s="2"/>
      <c r="B254" s="2" t="s">
        <v>23</v>
      </c>
      <c r="C254" s="1" t="s">
        <v>7</v>
      </c>
      <c r="D254" s="1">
        <v>4381</v>
      </c>
      <c r="E254" s="1">
        <v>112</v>
      </c>
      <c r="F254">
        <v>21.29</v>
      </c>
      <c r="G254">
        <v>2.86</v>
      </c>
      <c r="H254">
        <v>90.71</v>
      </c>
      <c r="I254">
        <v>0.86729999999999996</v>
      </c>
    </row>
    <row r="255" spans="1:9" x14ac:dyDescent="0.3">
      <c r="A255" s="2"/>
      <c r="B255" s="2"/>
      <c r="C255" s="1" t="s">
        <v>8</v>
      </c>
      <c r="D255" s="1">
        <v>7643</v>
      </c>
      <c r="E255" s="1">
        <v>168</v>
      </c>
      <c r="F255">
        <v>22.06</v>
      </c>
      <c r="G255">
        <v>2.86</v>
      </c>
      <c r="H255">
        <v>87.17</v>
      </c>
      <c r="I255">
        <v>0.84799999999999998</v>
      </c>
    </row>
    <row r="256" spans="1:9" x14ac:dyDescent="0.3">
      <c r="A256" s="2"/>
      <c r="B256" s="2"/>
      <c r="C256" s="1" t="s">
        <v>9</v>
      </c>
      <c r="D256" s="1">
        <v>7537</v>
      </c>
      <c r="E256" s="1">
        <v>174</v>
      </c>
      <c r="F256">
        <v>23.27</v>
      </c>
      <c r="G256">
        <v>2.86</v>
      </c>
      <c r="H256">
        <v>77.650000000000006</v>
      </c>
      <c r="I256">
        <v>0.83299999999999996</v>
      </c>
    </row>
    <row r="257" spans="1:9" x14ac:dyDescent="0.3">
      <c r="A257" s="2"/>
      <c r="B257" s="2"/>
      <c r="C257" s="1" t="s">
        <v>10</v>
      </c>
      <c r="D257" s="1">
        <v>4727</v>
      </c>
      <c r="E257" s="1">
        <v>116</v>
      </c>
      <c r="F257">
        <v>25.05</v>
      </c>
      <c r="G257">
        <v>2.86</v>
      </c>
      <c r="H257">
        <v>78.03</v>
      </c>
      <c r="I257">
        <v>0.79600000000000004</v>
      </c>
    </row>
    <row r="258" spans="1:9" x14ac:dyDescent="0.3">
      <c r="A258" s="2"/>
      <c r="B258" s="2"/>
      <c r="C258" s="1" t="s">
        <v>11</v>
      </c>
      <c r="D258" s="1">
        <v>5694</v>
      </c>
      <c r="E258" s="1">
        <v>161</v>
      </c>
      <c r="F258">
        <v>24.23</v>
      </c>
      <c r="G258">
        <v>2.86</v>
      </c>
      <c r="H258">
        <v>86.23</v>
      </c>
      <c r="I258">
        <v>0.84199999999999997</v>
      </c>
    </row>
    <row r="259" spans="1:9" x14ac:dyDescent="0.3">
      <c r="A259" s="2"/>
      <c r="B259" s="2"/>
      <c r="C259" s="1" t="s">
        <v>12</v>
      </c>
      <c r="D259" s="1">
        <v>3971</v>
      </c>
      <c r="E259" s="1">
        <v>115</v>
      </c>
      <c r="F259">
        <v>23.15</v>
      </c>
      <c r="G259">
        <v>2.86</v>
      </c>
      <c r="H259">
        <v>86.9</v>
      </c>
      <c r="I259">
        <v>0.85840000000000005</v>
      </c>
    </row>
    <row r="260" spans="1:9" x14ac:dyDescent="0.3">
      <c r="A260" s="2"/>
      <c r="B260" s="2"/>
      <c r="C260" s="1" t="s">
        <v>13</v>
      </c>
      <c r="D260" s="1">
        <v>6427</v>
      </c>
      <c r="E260" s="1">
        <v>137</v>
      </c>
      <c r="F260">
        <v>23.22</v>
      </c>
      <c r="G260">
        <v>2.86</v>
      </c>
      <c r="H260">
        <v>83.71</v>
      </c>
      <c r="I260">
        <v>0.85470000000000002</v>
      </c>
    </row>
    <row r="261" spans="1:9" x14ac:dyDescent="0.3">
      <c r="A261" s="2"/>
      <c r="B261" s="2"/>
      <c r="C261" s="1" t="s">
        <v>14</v>
      </c>
      <c r="D261" s="1">
        <v>3397</v>
      </c>
      <c r="E261" s="1">
        <v>102</v>
      </c>
      <c r="F261">
        <v>22.92</v>
      </c>
      <c r="G261">
        <v>2.86</v>
      </c>
      <c r="H261">
        <v>85.1</v>
      </c>
      <c r="I261">
        <v>0.47360000000000002</v>
      </c>
    </row>
    <row r="262" spans="1:9" x14ac:dyDescent="0.3">
      <c r="A262" s="2"/>
      <c r="B262" s="2"/>
      <c r="C262" s="1" t="s">
        <v>15</v>
      </c>
      <c r="D262" s="1">
        <v>7297</v>
      </c>
      <c r="E262" s="1">
        <v>160</v>
      </c>
      <c r="F262">
        <v>23.35</v>
      </c>
      <c r="G262">
        <v>2.86</v>
      </c>
      <c r="H262">
        <v>81.47</v>
      </c>
      <c r="I262">
        <v>0.91810000000000003</v>
      </c>
    </row>
    <row r="263" spans="1:9" x14ac:dyDescent="0.3">
      <c r="A263" s="2"/>
      <c r="B263" s="2"/>
      <c r="C263" s="1" t="s">
        <v>16</v>
      </c>
      <c r="D263" s="1">
        <v>3158</v>
      </c>
      <c r="E263" s="1">
        <v>81.5</v>
      </c>
      <c r="F263">
        <v>22.42</v>
      </c>
      <c r="G263">
        <v>2.86</v>
      </c>
      <c r="H263">
        <v>88.1</v>
      </c>
      <c r="I263">
        <v>0.84399999999999997</v>
      </c>
    </row>
    <row r="264" spans="1:9" x14ac:dyDescent="0.3">
      <c r="A264" s="2"/>
      <c r="B264" s="2"/>
      <c r="C264" s="1" t="s">
        <v>17</v>
      </c>
      <c r="D264" s="1">
        <v>5510</v>
      </c>
      <c r="E264" s="1">
        <v>103.5</v>
      </c>
      <c r="F264">
        <v>21.73</v>
      </c>
      <c r="G264">
        <v>2.86</v>
      </c>
      <c r="H264">
        <v>92.03</v>
      </c>
      <c r="I264">
        <v>0.85419999999999996</v>
      </c>
    </row>
    <row r="265" spans="1:9" x14ac:dyDescent="0.3">
      <c r="A265" s="2"/>
      <c r="B265" s="2"/>
      <c r="C265" s="1" t="s">
        <v>18</v>
      </c>
      <c r="D265" s="1">
        <v>4950</v>
      </c>
      <c r="E265" s="1">
        <v>92</v>
      </c>
      <c r="F265">
        <v>21.79</v>
      </c>
      <c r="G265">
        <v>2.86</v>
      </c>
      <c r="H265">
        <v>88.45</v>
      </c>
      <c r="I265">
        <v>0.85040000000000004</v>
      </c>
    </row>
    <row r="266" spans="1:9" x14ac:dyDescent="0.3">
      <c r="A266" s="2"/>
      <c r="B266" s="2" t="s">
        <v>24</v>
      </c>
      <c r="C266" s="1" t="s">
        <v>7</v>
      </c>
      <c r="D266" s="1">
        <v>2697</v>
      </c>
      <c r="E266" s="1">
        <v>138</v>
      </c>
      <c r="F266">
        <v>21.29</v>
      </c>
      <c r="G266">
        <v>2.86</v>
      </c>
      <c r="H266">
        <v>90.71</v>
      </c>
      <c r="I266">
        <v>0.86729999999999996</v>
      </c>
    </row>
    <row r="267" spans="1:9" x14ac:dyDescent="0.3">
      <c r="A267" s="2"/>
      <c r="B267" s="2"/>
      <c r="C267" s="1" t="s">
        <v>8</v>
      </c>
      <c r="D267" s="1">
        <v>7079</v>
      </c>
      <c r="E267" s="1">
        <v>248</v>
      </c>
      <c r="F267">
        <v>22.06</v>
      </c>
      <c r="G267">
        <v>2.86</v>
      </c>
      <c r="H267">
        <v>87.17</v>
      </c>
      <c r="I267">
        <v>0.84799999999999998</v>
      </c>
    </row>
    <row r="268" spans="1:9" x14ac:dyDescent="0.3">
      <c r="A268" s="2"/>
      <c r="B268" s="2"/>
      <c r="C268" s="1" t="s">
        <v>9</v>
      </c>
      <c r="D268" s="1">
        <v>8108</v>
      </c>
      <c r="E268" s="1">
        <v>282</v>
      </c>
      <c r="F268">
        <v>23.27</v>
      </c>
      <c r="G268">
        <v>2.86</v>
      </c>
      <c r="H268">
        <v>77.650000000000006</v>
      </c>
      <c r="I268">
        <v>0.83299999999999996</v>
      </c>
    </row>
    <row r="269" spans="1:9" x14ac:dyDescent="0.3">
      <c r="A269" s="2"/>
      <c r="B269" s="2"/>
      <c r="C269" s="1" t="s">
        <v>10</v>
      </c>
      <c r="D269" s="1">
        <v>7914</v>
      </c>
      <c r="E269" s="1">
        <v>233</v>
      </c>
      <c r="F269">
        <v>25.05</v>
      </c>
      <c r="G269">
        <v>2.86</v>
      </c>
      <c r="H269">
        <v>78.03</v>
      </c>
      <c r="I269">
        <v>0.79600000000000004</v>
      </c>
    </row>
    <row r="270" spans="1:9" x14ac:dyDescent="0.3">
      <c r="A270" s="2"/>
      <c r="B270" s="2"/>
      <c r="C270" s="1" t="s">
        <v>11</v>
      </c>
      <c r="D270" s="1">
        <v>7551</v>
      </c>
      <c r="E270" s="1">
        <v>277</v>
      </c>
      <c r="F270">
        <v>24.23</v>
      </c>
      <c r="G270">
        <v>2.86</v>
      </c>
      <c r="H270">
        <v>86.23</v>
      </c>
      <c r="I270">
        <v>0.84199999999999997</v>
      </c>
    </row>
    <row r="271" spans="1:9" x14ac:dyDescent="0.3">
      <c r="A271" s="2"/>
      <c r="B271" s="2"/>
      <c r="C271" s="1" t="s">
        <v>12</v>
      </c>
      <c r="D271" s="1">
        <v>6169</v>
      </c>
      <c r="E271" s="1">
        <v>191</v>
      </c>
      <c r="F271">
        <v>23.15</v>
      </c>
      <c r="G271">
        <v>2.86</v>
      </c>
      <c r="H271">
        <v>86.9</v>
      </c>
      <c r="I271">
        <v>0.85840000000000005</v>
      </c>
    </row>
    <row r="272" spans="1:9" x14ac:dyDescent="0.3">
      <c r="A272" s="2"/>
      <c r="B272" s="2"/>
      <c r="C272" s="1" t="s">
        <v>13</v>
      </c>
      <c r="D272" s="1">
        <v>4078</v>
      </c>
      <c r="E272" s="1">
        <v>153</v>
      </c>
      <c r="F272">
        <v>23.22</v>
      </c>
      <c r="G272">
        <v>2.86</v>
      </c>
      <c r="H272">
        <v>83.71</v>
      </c>
      <c r="I272">
        <v>0.85470000000000002</v>
      </c>
    </row>
    <row r="273" spans="1:9" x14ac:dyDescent="0.3">
      <c r="A273" s="2"/>
      <c r="B273" s="2"/>
      <c r="C273" s="1" t="s">
        <v>14</v>
      </c>
      <c r="D273" s="1">
        <v>2930</v>
      </c>
      <c r="E273" s="1">
        <v>107.5</v>
      </c>
      <c r="F273">
        <v>22.92</v>
      </c>
      <c r="G273">
        <v>2.86</v>
      </c>
      <c r="H273">
        <v>85.1</v>
      </c>
      <c r="I273">
        <v>0.47360000000000002</v>
      </c>
    </row>
    <row r="274" spans="1:9" x14ac:dyDescent="0.3">
      <c r="A274" s="2"/>
      <c r="B274" s="2"/>
      <c r="C274" s="1" t="s">
        <v>15</v>
      </c>
      <c r="D274" s="1">
        <v>7049</v>
      </c>
      <c r="E274" s="1">
        <v>212</v>
      </c>
      <c r="F274">
        <v>23.35</v>
      </c>
      <c r="G274">
        <v>2.86</v>
      </c>
      <c r="H274">
        <v>81.47</v>
      </c>
      <c r="I274">
        <v>0.91810000000000003</v>
      </c>
    </row>
    <row r="275" spans="1:9" x14ac:dyDescent="0.3">
      <c r="A275" s="2"/>
      <c r="B275" s="2"/>
      <c r="C275" s="1" t="s">
        <v>16</v>
      </c>
      <c r="D275" s="1">
        <v>3180</v>
      </c>
      <c r="E275" s="1">
        <v>116</v>
      </c>
      <c r="F275">
        <v>22.42</v>
      </c>
      <c r="G275">
        <v>2.86</v>
      </c>
      <c r="H275">
        <v>88.1</v>
      </c>
      <c r="I275">
        <v>0.84399999999999997</v>
      </c>
    </row>
    <row r="276" spans="1:9" x14ac:dyDescent="0.3">
      <c r="A276" s="2"/>
      <c r="B276" s="2"/>
      <c r="C276" s="1" t="s">
        <v>17</v>
      </c>
      <c r="D276" s="1">
        <v>7738</v>
      </c>
      <c r="E276" s="1">
        <v>247</v>
      </c>
      <c r="F276">
        <v>21.73</v>
      </c>
      <c r="G276">
        <v>2.86</v>
      </c>
      <c r="H276">
        <v>92.03</v>
      </c>
      <c r="I276">
        <v>0.85419999999999996</v>
      </c>
    </row>
    <row r="277" spans="1:9" x14ac:dyDescent="0.3">
      <c r="A277" s="2"/>
      <c r="B277" s="2"/>
      <c r="C277" s="1" t="s">
        <v>18</v>
      </c>
      <c r="D277" s="1">
        <v>6569</v>
      </c>
      <c r="E277" s="1">
        <v>216</v>
      </c>
      <c r="F277">
        <v>21.79</v>
      </c>
      <c r="G277">
        <v>2.86</v>
      </c>
      <c r="H277">
        <v>88.45</v>
      </c>
      <c r="I277">
        <v>0.85040000000000004</v>
      </c>
    </row>
    <row r="278" spans="1:9" x14ac:dyDescent="0.3">
      <c r="A278" s="2"/>
      <c r="B278" s="2" t="s">
        <v>25</v>
      </c>
      <c r="C278" s="1" t="s">
        <v>7</v>
      </c>
      <c r="D278" s="1">
        <v>805</v>
      </c>
      <c r="E278" s="1">
        <v>47.5</v>
      </c>
      <c r="F278">
        <v>21.29</v>
      </c>
      <c r="G278">
        <v>2.86</v>
      </c>
      <c r="H278">
        <v>90.71</v>
      </c>
      <c r="I278">
        <v>0.86729999999999996</v>
      </c>
    </row>
    <row r="279" spans="1:9" x14ac:dyDescent="0.3">
      <c r="A279" s="2"/>
      <c r="B279" s="2"/>
      <c r="C279" s="1" t="s">
        <v>8</v>
      </c>
      <c r="D279" s="1">
        <v>3240</v>
      </c>
      <c r="E279" s="1">
        <v>173.5</v>
      </c>
      <c r="F279">
        <v>22.06</v>
      </c>
      <c r="G279">
        <v>2.86</v>
      </c>
      <c r="H279">
        <v>87.17</v>
      </c>
      <c r="I279">
        <v>0.84799999999999998</v>
      </c>
    </row>
    <row r="280" spans="1:9" x14ac:dyDescent="0.3">
      <c r="A280" s="2"/>
      <c r="B280" s="2"/>
      <c r="C280" s="1" t="s">
        <v>9</v>
      </c>
      <c r="D280" s="1">
        <v>2668</v>
      </c>
      <c r="E280" s="1">
        <v>154</v>
      </c>
      <c r="F280">
        <v>23.27</v>
      </c>
      <c r="G280">
        <v>2.86</v>
      </c>
      <c r="H280">
        <v>77.650000000000006</v>
      </c>
      <c r="I280">
        <v>0.83299999999999996</v>
      </c>
    </row>
    <row r="281" spans="1:9" x14ac:dyDescent="0.3">
      <c r="A281" s="2"/>
      <c r="B281" s="2"/>
      <c r="C281" s="1" t="s">
        <v>10</v>
      </c>
      <c r="D281" s="1">
        <v>1737</v>
      </c>
      <c r="E281" s="1">
        <v>94</v>
      </c>
      <c r="F281">
        <v>25.05</v>
      </c>
      <c r="G281">
        <v>2.86</v>
      </c>
      <c r="H281">
        <v>78.03</v>
      </c>
      <c r="I281">
        <v>0.79600000000000004</v>
      </c>
    </row>
    <row r="282" spans="1:9" x14ac:dyDescent="0.3">
      <c r="A282" s="2"/>
      <c r="B282" s="2"/>
      <c r="C282" s="1" t="s">
        <v>11</v>
      </c>
      <c r="D282" s="1">
        <v>3049</v>
      </c>
      <c r="E282" s="1">
        <v>169</v>
      </c>
      <c r="F282">
        <v>24.23</v>
      </c>
      <c r="G282">
        <v>2.86</v>
      </c>
      <c r="H282">
        <v>86.23</v>
      </c>
      <c r="I282">
        <v>0.84199999999999997</v>
      </c>
    </row>
    <row r="283" spans="1:9" x14ac:dyDescent="0.3">
      <c r="A283" s="2"/>
      <c r="B283" s="2"/>
      <c r="C283" s="1" t="s">
        <v>12</v>
      </c>
      <c r="D283" s="1">
        <v>1144</v>
      </c>
      <c r="E283" s="1">
        <v>65</v>
      </c>
      <c r="F283">
        <v>23.15</v>
      </c>
      <c r="G283">
        <v>2.86</v>
      </c>
      <c r="H283">
        <v>86.9</v>
      </c>
      <c r="I283">
        <v>0.85840000000000005</v>
      </c>
    </row>
    <row r="284" spans="1:9" x14ac:dyDescent="0.3">
      <c r="A284" s="2"/>
      <c r="B284" s="2"/>
      <c r="C284" s="1" t="s">
        <v>13</v>
      </c>
      <c r="D284" s="1">
        <v>1214</v>
      </c>
      <c r="E284" s="1">
        <v>72</v>
      </c>
      <c r="F284">
        <v>23.22</v>
      </c>
      <c r="G284">
        <v>2.86</v>
      </c>
      <c r="H284">
        <v>83.71</v>
      </c>
      <c r="I284">
        <v>0.85470000000000002</v>
      </c>
    </row>
    <row r="285" spans="1:9" x14ac:dyDescent="0.3">
      <c r="A285" s="2"/>
      <c r="B285" s="2"/>
      <c r="C285" s="1" t="s">
        <v>14</v>
      </c>
      <c r="D285" s="1">
        <v>723</v>
      </c>
      <c r="E285" s="1">
        <v>47.5</v>
      </c>
      <c r="F285">
        <v>22.92</v>
      </c>
      <c r="G285">
        <v>2.86</v>
      </c>
      <c r="H285">
        <v>85.1</v>
      </c>
      <c r="I285">
        <v>0.47360000000000002</v>
      </c>
    </row>
    <row r="286" spans="1:9" x14ac:dyDescent="0.3">
      <c r="A286" s="2"/>
      <c r="B286" s="2"/>
      <c r="C286" s="1" t="s">
        <v>15</v>
      </c>
      <c r="D286" s="1">
        <v>1303</v>
      </c>
      <c r="E286" s="1">
        <v>80</v>
      </c>
      <c r="F286">
        <v>23.35</v>
      </c>
      <c r="G286">
        <v>2.86</v>
      </c>
      <c r="H286">
        <v>81.47</v>
      </c>
      <c r="I286">
        <v>0.91810000000000003</v>
      </c>
    </row>
    <row r="287" spans="1:9" x14ac:dyDescent="0.3">
      <c r="A287" s="2"/>
      <c r="B287" s="2"/>
      <c r="C287" s="1" t="s">
        <v>16</v>
      </c>
      <c r="D287" s="1">
        <v>1131</v>
      </c>
      <c r="E287" s="1">
        <v>58.5</v>
      </c>
      <c r="F287">
        <v>22.42</v>
      </c>
      <c r="G287">
        <v>2.86</v>
      </c>
      <c r="H287">
        <v>88.1</v>
      </c>
      <c r="I287">
        <v>0.84399999999999997</v>
      </c>
    </row>
    <row r="288" spans="1:9" x14ac:dyDescent="0.3">
      <c r="A288" s="2"/>
      <c r="B288" s="2"/>
      <c r="C288" s="1" t="s">
        <v>17</v>
      </c>
      <c r="D288" s="1">
        <v>1092</v>
      </c>
      <c r="E288" s="1">
        <v>61</v>
      </c>
      <c r="F288">
        <v>21.73</v>
      </c>
      <c r="G288">
        <v>2.86</v>
      </c>
      <c r="H288">
        <v>92.03</v>
      </c>
      <c r="I288">
        <v>0.85419999999999996</v>
      </c>
    </row>
    <row r="289" spans="1:9" x14ac:dyDescent="0.3">
      <c r="A289" s="2"/>
      <c r="B289" s="2"/>
      <c r="C289" s="1" t="s">
        <v>18</v>
      </c>
      <c r="D289" s="1">
        <v>2525</v>
      </c>
      <c r="E289" s="1">
        <v>145</v>
      </c>
      <c r="F289">
        <v>21.79</v>
      </c>
      <c r="G289">
        <v>2.86</v>
      </c>
      <c r="H289">
        <v>88.45</v>
      </c>
      <c r="I289">
        <v>0.85040000000000004</v>
      </c>
    </row>
    <row r="290" spans="1:9" x14ac:dyDescent="0.3">
      <c r="A290" s="2">
        <v>2025</v>
      </c>
      <c r="B290" s="2" t="s">
        <v>19</v>
      </c>
      <c r="C290" s="1" t="s">
        <v>7</v>
      </c>
      <c r="D290" s="1">
        <v>5769</v>
      </c>
      <c r="E290" s="1">
        <v>220</v>
      </c>
      <c r="F290">
        <v>20.81</v>
      </c>
      <c r="G290">
        <v>2.86</v>
      </c>
      <c r="H290">
        <v>93.06</v>
      </c>
      <c r="I290">
        <v>0.52339999999999998</v>
      </c>
    </row>
    <row r="291" spans="1:9" x14ac:dyDescent="0.3">
      <c r="A291" s="2"/>
      <c r="B291" s="2"/>
      <c r="C291" s="1" t="s">
        <v>8</v>
      </c>
      <c r="D291" s="1">
        <v>4647</v>
      </c>
      <c r="E291" s="1">
        <v>210</v>
      </c>
      <c r="F291">
        <v>21.51</v>
      </c>
      <c r="G291">
        <v>2.86</v>
      </c>
      <c r="H291">
        <v>84.21</v>
      </c>
      <c r="I291">
        <v>0.84340000000000004</v>
      </c>
    </row>
    <row r="292" spans="1:9" x14ac:dyDescent="0.3">
      <c r="A292" s="2"/>
      <c r="B292" s="2"/>
      <c r="C292" s="1" t="s">
        <v>9</v>
      </c>
      <c r="D292" s="1">
        <v>7358</v>
      </c>
      <c r="E292" s="1">
        <v>295</v>
      </c>
      <c r="F292">
        <v>22.55</v>
      </c>
      <c r="G292">
        <v>2.86</v>
      </c>
      <c r="H292">
        <v>83.55</v>
      </c>
      <c r="I292">
        <v>0.82220000000000004</v>
      </c>
    </row>
    <row r="293" spans="1:9" x14ac:dyDescent="0.3">
      <c r="A293" s="2"/>
      <c r="B293" s="2"/>
      <c r="C293" s="1" t="s">
        <v>10</v>
      </c>
      <c r="D293" s="1">
        <v>10631</v>
      </c>
      <c r="E293" s="1">
        <v>299</v>
      </c>
      <c r="F293">
        <v>22.78</v>
      </c>
      <c r="G293">
        <v>2.86</v>
      </c>
      <c r="H293">
        <v>89.4</v>
      </c>
      <c r="I293">
        <v>0.86670000000000003</v>
      </c>
    </row>
    <row r="294" spans="1:9" x14ac:dyDescent="0.3">
      <c r="A294" s="2"/>
      <c r="B294" s="2"/>
      <c r="C294" s="1" t="s">
        <v>11</v>
      </c>
      <c r="D294" s="1">
        <v>8266</v>
      </c>
      <c r="E294" s="1">
        <v>236.5</v>
      </c>
      <c r="F294">
        <v>23.18</v>
      </c>
      <c r="G294">
        <v>2.86</v>
      </c>
      <c r="H294">
        <v>87.77</v>
      </c>
      <c r="I294">
        <v>0.32400000000000001</v>
      </c>
    </row>
    <row r="295" spans="1:9" x14ac:dyDescent="0.3">
      <c r="A295" s="2"/>
      <c r="B295" s="2"/>
      <c r="C295" s="1" t="s">
        <v>12</v>
      </c>
      <c r="D295" s="1">
        <v>4511</v>
      </c>
      <c r="E295" s="1">
        <v>159</v>
      </c>
      <c r="F295">
        <v>22.93</v>
      </c>
      <c r="G295">
        <v>2.86</v>
      </c>
      <c r="H295">
        <v>84.13</v>
      </c>
      <c r="I295">
        <v>0.69940000000000002</v>
      </c>
    </row>
    <row r="296" spans="1:9" x14ac:dyDescent="0.3">
      <c r="A296" s="2"/>
      <c r="B296" s="2"/>
      <c r="C296" s="1" t="s">
        <v>13</v>
      </c>
      <c r="D296" s="1">
        <v>6786</v>
      </c>
      <c r="E296" s="1">
        <v>235</v>
      </c>
      <c r="F296">
        <v>22.75</v>
      </c>
      <c r="G296">
        <v>2.86</v>
      </c>
      <c r="H296">
        <v>83.61</v>
      </c>
      <c r="I296">
        <v>0.45619999999999999</v>
      </c>
    </row>
    <row r="297" spans="1:9" x14ac:dyDescent="0.3">
      <c r="A297" s="2"/>
      <c r="B297" s="2"/>
      <c r="C297" s="1" t="s">
        <v>14</v>
      </c>
      <c r="D297" s="1">
        <v>5378</v>
      </c>
      <c r="E297" s="1">
        <v>182</v>
      </c>
      <c r="F297">
        <v>22.64</v>
      </c>
      <c r="G297">
        <v>2.86</v>
      </c>
      <c r="H297">
        <v>82.19</v>
      </c>
      <c r="I297">
        <v>0.74299999999999999</v>
      </c>
    </row>
    <row r="298" spans="1:9" x14ac:dyDescent="0.3">
      <c r="A298" s="2"/>
      <c r="B298" s="2"/>
      <c r="C298" s="1" t="s">
        <v>15</v>
      </c>
      <c r="D298" s="1">
        <v>13339</v>
      </c>
      <c r="E298" s="1">
        <v>332.5</v>
      </c>
      <c r="F298">
        <v>22.71</v>
      </c>
      <c r="G298">
        <v>2.86</v>
      </c>
      <c r="H298">
        <v>82.97</v>
      </c>
      <c r="I298">
        <v>0.67220000000000002</v>
      </c>
    </row>
    <row r="299" spans="1:9" x14ac:dyDescent="0.3">
      <c r="A299" s="2"/>
      <c r="B299" s="2"/>
      <c r="C299" s="1" t="s">
        <v>16</v>
      </c>
      <c r="D299" s="1">
        <v>7608</v>
      </c>
      <c r="E299" s="1">
        <v>202.5</v>
      </c>
      <c r="F299">
        <v>22.38</v>
      </c>
      <c r="G299">
        <v>2.86</v>
      </c>
      <c r="H299">
        <v>85.74</v>
      </c>
      <c r="I299">
        <v>0.81369999999999998</v>
      </c>
    </row>
    <row r="300" spans="1:9" x14ac:dyDescent="0.3">
      <c r="A300" s="2"/>
      <c r="B300" s="2"/>
      <c r="C300" s="1" t="s">
        <v>17</v>
      </c>
      <c r="D300" s="1">
        <v>6545</v>
      </c>
      <c r="E300" s="1">
        <v>217</v>
      </c>
      <c r="F300">
        <v>21.58</v>
      </c>
      <c r="G300">
        <v>2.86</v>
      </c>
      <c r="H300">
        <v>91.1</v>
      </c>
      <c r="I300">
        <v>0.86539999999999995</v>
      </c>
    </row>
    <row r="301" spans="1:9" x14ac:dyDescent="0.3">
      <c r="A301" s="2"/>
      <c r="B301" s="2"/>
      <c r="C301" s="1" t="s">
        <v>18</v>
      </c>
      <c r="D301" s="1">
        <v>6697</v>
      </c>
      <c r="E301" s="1">
        <v>216.5</v>
      </c>
      <c r="F301">
        <v>21.25</v>
      </c>
      <c r="G301">
        <v>2.86</v>
      </c>
      <c r="H301">
        <v>90.35</v>
      </c>
      <c r="I301">
        <v>0.84340000000000004</v>
      </c>
    </row>
    <row r="302" spans="1:9" x14ac:dyDescent="0.3">
      <c r="A302" s="2"/>
      <c r="B302" s="2" t="s">
        <v>21</v>
      </c>
      <c r="C302" s="1" t="s">
        <v>7</v>
      </c>
      <c r="D302" s="1">
        <v>5079</v>
      </c>
      <c r="E302" s="1">
        <v>238.5</v>
      </c>
      <c r="F302">
        <v>20.81</v>
      </c>
      <c r="G302">
        <v>2.86</v>
      </c>
      <c r="H302">
        <v>93.06</v>
      </c>
      <c r="I302">
        <v>0.52339999999999998</v>
      </c>
    </row>
    <row r="303" spans="1:9" x14ac:dyDescent="0.3">
      <c r="A303" s="2"/>
      <c r="B303" s="2"/>
      <c r="C303" s="1" t="s">
        <v>8</v>
      </c>
      <c r="D303" s="1">
        <v>3306</v>
      </c>
      <c r="E303" s="1">
        <v>175</v>
      </c>
      <c r="F303">
        <v>21.51</v>
      </c>
      <c r="G303">
        <v>2.86</v>
      </c>
      <c r="H303">
        <v>84.21</v>
      </c>
      <c r="I303">
        <v>0.84340000000000004</v>
      </c>
    </row>
    <row r="304" spans="1:9" x14ac:dyDescent="0.3">
      <c r="A304" s="2"/>
      <c r="B304" s="2"/>
      <c r="C304" s="1" t="s">
        <v>9</v>
      </c>
      <c r="D304" s="1">
        <v>7481</v>
      </c>
      <c r="E304" s="1">
        <v>316.5</v>
      </c>
      <c r="F304">
        <v>22.55</v>
      </c>
      <c r="G304">
        <v>2.86</v>
      </c>
      <c r="H304">
        <v>83.55</v>
      </c>
      <c r="I304">
        <v>0.82220000000000004</v>
      </c>
    </row>
    <row r="305" spans="1:9" x14ac:dyDescent="0.3">
      <c r="A305" s="2"/>
      <c r="B305" s="2"/>
      <c r="C305" s="1" t="s">
        <v>10</v>
      </c>
      <c r="D305" s="1">
        <v>8343</v>
      </c>
      <c r="E305" s="1">
        <v>277.5</v>
      </c>
      <c r="F305">
        <v>22.78</v>
      </c>
      <c r="G305">
        <v>2.86</v>
      </c>
      <c r="H305">
        <v>89.4</v>
      </c>
      <c r="I305">
        <v>0.86670000000000003</v>
      </c>
    </row>
    <row r="306" spans="1:9" x14ac:dyDescent="0.3">
      <c r="A306" s="2"/>
      <c r="B306" s="2"/>
      <c r="C306" s="1" t="s">
        <v>11</v>
      </c>
      <c r="D306" s="1">
        <v>7926</v>
      </c>
      <c r="E306" s="1">
        <v>261</v>
      </c>
      <c r="F306">
        <v>23.18</v>
      </c>
      <c r="G306">
        <v>2.86</v>
      </c>
      <c r="H306">
        <v>87.77</v>
      </c>
      <c r="I306">
        <v>0.32400000000000001</v>
      </c>
    </row>
    <row r="307" spans="1:9" x14ac:dyDescent="0.3">
      <c r="A307" s="2"/>
      <c r="B307" s="2"/>
      <c r="C307" s="1" t="s">
        <v>12</v>
      </c>
      <c r="D307" s="1">
        <v>5296</v>
      </c>
      <c r="E307" s="1">
        <v>242</v>
      </c>
      <c r="F307">
        <v>22.93</v>
      </c>
      <c r="G307">
        <v>2.86</v>
      </c>
      <c r="H307">
        <v>84.13</v>
      </c>
      <c r="I307">
        <v>0.69940000000000002</v>
      </c>
    </row>
    <row r="308" spans="1:9" x14ac:dyDescent="0.3">
      <c r="A308" s="2"/>
      <c r="B308" s="2"/>
      <c r="C308" s="1" t="s">
        <v>13</v>
      </c>
      <c r="D308" s="1">
        <v>5665</v>
      </c>
      <c r="E308" s="1">
        <v>238</v>
      </c>
      <c r="F308">
        <v>22.75</v>
      </c>
      <c r="G308">
        <v>2.86</v>
      </c>
      <c r="H308">
        <v>83.61</v>
      </c>
      <c r="I308">
        <v>0.45619999999999999</v>
      </c>
    </row>
    <row r="309" spans="1:9" x14ac:dyDescent="0.3">
      <c r="A309" s="2"/>
      <c r="B309" s="2"/>
      <c r="C309" s="1" t="s">
        <v>14</v>
      </c>
      <c r="D309" s="1">
        <v>6579</v>
      </c>
      <c r="E309" s="1">
        <v>265</v>
      </c>
      <c r="F309">
        <v>22.64</v>
      </c>
      <c r="G309">
        <v>2.86</v>
      </c>
      <c r="H309">
        <v>82.19</v>
      </c>
      <c r="I309">
        <v>0.74299999999999999</v>
      </c>
    </row>
    <row r="310" spans="1:9" x14ac:dyDescent="0.3">
      <c r="A310" s="2"/>
      <c r="B310" s="2"/>
      <c r="C310" s="1" t="s">
        <v>15</v>
      </c>
      <c r="D310" s="1">
        <v>11955</v>
      </c>
      <c r="E310" s="1">
        <v>347</v>
      </c>
      <c r="F310">
        <v>22.71</v>
      </c>
      <c r="G310">
        <v>2.86</v>
      </c>
      <c r="H310">
        <v>82.97</v>
      </c>
      <c r="I310">
        <v>0.67220000000000002</v>
      </c>
    </row>
    <row r="311" spans="1:9" x14ac:dyDescent="0.3">
      <c r="A311" s="2"/>
      <c r="B311" s="2"/>
      <c r="C311" s="1" t="s">
        <v>16</v>
      </c>
      <c r="D311" s="1">
        <v>5613</v>
      </c>
      <c r="E311" s="1">
        <v>218</v>
      </c>
      <c r="F311">
        <v>22.38</v>
      </c>
      <c r="G311">
        <v>2.86</v>
      </c>
      <c r="H311">
        <v>85.74</v>
      </c>
      <c r="I311">
        <v>0.81369999999999998</v>
      </c>
    </row>
    <row r="312" spans="1:9" x14ac:dyDescent="0.3">
      <c r="A312" s="2"/>
      <c r="B312" s="2"/>
      <c r="C312" s="1" t="s">
        <v>17</v>
      </c>
      <c r="D312" s="1">
        <v>6552</v>
      </c>
      <c r="E312" s="1">
        <v>132</v>
      </c>
      <c r="F312">
        <v>21.58</v>
      </c>
      <c r="G312">
        <v>2.86</v>
      </c>
      <c r="H312">
        <v>91.1</v>
      </c>
      <c r="I312">
        <v>0.86539999999999995</v>
      </c>
    </row>
    <row r="313" spans="1:9" x14ac:dyDescent="0.3">
      <c r="A313" s="2"/>
      <c r="B313" s="2"/>
      <c r="C313" s="1" t="s">
        <v>18</v>
      </c>
      <c r="D313" s="1">
        <v>5317</v>
      </c>
      <c r="E313" s="1">
        <v>153</v>
      </c>
      <c r="F313">
        <v>21.25</v>
      </c>
      <c r="G313">
        <v>2.86</v>
      </c>
      <c r="H313">
        <v>90.35</v>
      </c>
      <c r="I313">
        <v>0.84340000000000004</v>
      </c>
    </row>
    <row r="314" spans="1:9" x14ac:dyDescent="0.3">
      <c r="A314" s="2"/>
      <c r="B314" s="2" t="s">
        <v>22</v>
      </c>
      <c r="C314" s="1" t="s">
        <v>7</v>
      </c>
      <c r="D314" s="1">
        <v>8915</v>
      </c>
      <c r="E314" s="1">
        <v>387</v>
      </c>
      <c r="F314">
        <v>20.81</v>
      </c>
      <c r="G314">
        <v>2.86</v>
      </c>
      <c r="H314">
        <v>93.06</v>
      </c>
      <c r="I314">
        <v>0.52339999999999998</v>
      </c>
    </row>
    <row r="315" spans="1:9" x14ac:dyDescent="0.3">
      <c r="A315" s="2"/>
      <c r="B315" s="2"/>
      <c r="C315" s="1" t="s">
        <v>8</v>
      </c>
      <c r="D315" s="1">
        <v>4385</v>
      </c>
      <c r="E315" s="1">
        <v>234.5</v>
      </c>
      <c r="F315">
        <v>21.51</v>
      </c>
      <c r="G315">
        <v>2.86</v>
      </c>
      <c r="H315">
        <v>84.21</v>
      </c>
      <c r="I315">
        <v>0.84340000000000004</v>
      </c>
    </row>
    <row r="316" spans="1:9" x14ac:dyDescent="0.3">
      <c r="A316" s="2"/>
      <c r="B316" s="2"/>
      <c r="C316" s="1" t="s">
        <v>9</v>
      </c>
      <c r="D316" s="1">
        <v>11200</v>
      </c>
      <c r="E316" s="1">
        <v>497</v>
      </c>
      <c r="F316">
        <v>22.55</v>
      </c>
      <c r="G316">
        <v>2.86</v>
      </c>
      <c r="H316">
        <v>83.55</v>
      </c>
      <c r="I316">
        <v>0.82220000000000004</v>
      </c>
    </row>
    <row r="317" spans="1:9" x14ac:dyDescent="0.3">
      <c r="A317" s="2"/>
      <c r="B317" s="2"/>
      <c r="C317" s="1" t="s">
        <v>10</v>
      </c>
      <c r="D317" s="1">
        <v>12645</v>
      </c>
      <c r="E317" s="1">
        <v>473.5</v>
      </c>
      <c r="F317">
        <v>22.78</v>
      </c>
      <c r="G317">
        <v>2.86</v>
      </c>
      <c r="H317">
        <v>89.4</v>
      </c>
      <c r="I317">
        <v>0.86670000000000003</v>
      </c>
    </row>
    <row r="318" spans="1:9" x14ac:dyDescent="0.3">
      <c r="A318" s="2"/>
      <c r="B318" s="2"/>
      <c r="C318" s="1" t="s">
        <v>11</v>
      </c>
      <c r="D318" s="1">
        <v>12828</v>
      </c>
      <c r="E318" s="1">
        <v>493</v>
      </c>
      <c r="F318">
        <v>23.18</v>
      </c>
      <c r="G318">
        <v>2.86</v>
      </c>
      <c r="H318">
        <v>87.77</v>
      </c>
      <c r="I318">
        <v>0.32400000000000001</v>
      </c>
    </row>
    <row r="319" spans="1:9" x14ac:dyDescent="0.3">
      <c r="A319" s="2"/>
      <c r="B319" s="2"/>
      <c r="C319" s="1" t="s">
        <v>12</v>
      </c>
      <c r="D319" s="1">
        <v>5299</v>
      </c>
      <c r="E319" s="1">
        <v>256.5</v>
      </c>
      <c r="F319">
        <v>22.93</v>
      </c>
      <c r="G319">
        <v>2.86</v>
      </c>
      <c r="H319">
        <v>84.13</v>
      </c>
      <c r="I319">
        <v>0.69940000000000002</v>
      </c>
    </row>
    <row r="320" spans="1:9" x14ac:dyDescent="0.3">
      <c r="A320" s="2"/>
      <c r="B320" s="2"/>
      <c r="C320" s="1" t="s">
        <v>13</v>
      </c>
      <c r="D320" s="1">
        <v>8867</v>
      </c>
      <c r="E320" s="1">
        <v>339</v>
      </c>
      <c r="F320">
        <v>22.75</v>
      </c>
      <c r="G320">
        <v>2.86</v>
      </c>
      <c r="H320">
        <v>83.61</v>
      </c>
      <c r="I320">
        <v>0.45619999999999999</v>
      </c>
    </row>
    <row r="321" spans="1:9" x14ac:dyDescent="0.3">
      <c r="A321" s="2"/>
      <c r="B321" s="2"/>
      <c r="C321" s="1" t="s">
        <v>14</v>
      </c>
      <c r="D321" s="1">
        <v>6802</v>
      </c>
      <c r="E321" s="1">
        <v>277.5</v>
      </c>
      <c r="F321">
        <v>22.64</v>
      </c>
      <c r="G321">
        <v>2.86</v>
      </c>
      <c r="H321">
        <v>82.19</v>
      </c>
      <c r="I321">
        <v>0.74299999999999999</v>
      </c>
    </row>
    <row r="322" spans="1:9" x14ac:dyDescent="0.3">
      <c r="A322" s="2"/>
      <c r="B322" s="2"/>
      <c r="C322" s="1" t="s">
        <v>15</v>
      </c>
      <c r="D322" s="1">
        <v>15148</v>
      </c>
      <c r="E322" s="1">
        <v>478</v>
      </c>
      <c r="F322">
        <v>22.71</v>
      </c>
      <c r="G322">
        <v>2.86</v>
      </c>
      <c r="H322">
        <v>82.97</v>
      </c>
      <c r="I322">
        <v>0.67220000000000002</v>
      </c>
    </row>
    <row r="323" spans="1:9" x14ac:dyDescent="0.3">
      <c r="A323" s="2"/>
      <c r="B323" s="2"/>
      <c r="C323" s="1" t="s">
        <v>16</v>
      </c>
      <c r="D323" s="1">
        <v>6484</v>
      </c>
      <c r="E323" s="1">
        <v>239</v>
      </c>
      <c r="F323">
        <v>22.38</v>
      </c>
      <c r="G323">
        <v>2.86</v>
      </c>
      <c r="H323">
        <v>85.74</v>
      </c>
      <c r="I323">
        <v>0.81369999999999998</v>
      </c>
    </row>
    <row r="324" spans="1:9" x14ac:dyDescent="0.3">
      <c r="A324" s="2"/>
      <c r="B324" s="2"/>
      <c r="C324" s="1" t="s">
        <v>17</v>
      </c>
      <c r="D324" s="1">
        <v>7371</v>
      </c>
      <c r="E324" s="1">
        <v>250</v>
      </c>
      <c r="F324">
        <v>21.58</v>
      </c>
      <c r="G324">
        <v>2.86</v>
      </c>
      <c r="H324">
        <v>91.1</v>
      </c>
      <c r="I324">
        <v>0.86539999999999995</v>
      </c>
    </row>
    <row r="325" spans="1:9" x14ac:dyDescent="0.3">
      <c r="A325" s="2"/>
      <c r="B325" s="2"/>
      <c r="C325" s="1" t="s">
        <v>18</v>
      </c>
      <c r="D325" s="1">
        <v>6740</v>
      </c>
      <c r="E325" s="1">
        <v>212</v>
      </c>
      <c r="F325">
        <v>21.25</v>
      </c>
      <c r="G325">
        <v>2.86</v>
      </c>
      <c r="H325">
        <v>90.35</v>
      </c>
      <c r="I325">
        <v>0.84340000000000004</v>
      </c>
    </row>
    <row r="326" spans="1:9" x14ac:dyDescent="0.3">
      <c r="A326" s="2"/>
      <c r="B326" s="2" t="s">
        <v>23</v>
      </c>
      <c r="C326" s="1" t="s">
        <v>7</v>
      </c>
      <c r="D326" s="1">
        <v>4029</v>
      </c>
      <c r="E326" s="1">
        <v>91</v>
      </c>
      <c r="F326">
        <v>20.81</v>
      </c>
      <c r="G326">
        <v>2.86</v>
      </c>
      <c r="H326">
        <v>93.06</v>
      </c>
      <c r="I326">
        <v>0.52339999999999998</v>
      </c>
    </row>
    <row r="327" spans="1:9" x14ac:dyDescent="0.3">
      <c r="A327" s="2"/>
      <c r="B327" s="2"/>
      <c r="C327" s="1" t="s">
        <v>8</v>
      </c>
      <c r="D327" s="1">
        <v>2950</v>
      </c>
      <c r="E327" s="1">
        <v>67</v>
      </c>
      <c r="F327">
        <v>21.51</v>
      </c>
      <c r="G327">
        <v>2.86</v>
      </c>
      <c r="H327">
        <v>84.21</v>
      </c>
      <c r="I327">
        <v>0.84340000000000004</v>
      </c>
    </row>
    <row r="328" spans="1:9" x14ac:dyDescent="0.3">
      <c r="A328" s="2"/>
      <c r="B328" s="2"/>
      <c r="C328" s="1" t="s">
        <v>9</v>
      </c>
      <c r="D328" s="1">
        <v>6557</v>
      </c>
      <c r="E328" s="1">
        <v>149</v>
      </c>
      <c r="F328">
        <v>22.55</v>
      </c>
      <c r="G328">
        <v>2.86</v>
      </c>
      <c r="H328">
        <v>83.55</v>
      </c>
      <c r="I328">
        <v>0.82220000000000004</v>
      </c>
    </row>
    <row r="329" spans="1:9" x14ac:dyDescent="0.3">
      <c r="A329" s="2"/>
      <c r="B329" s="2"/>
      <c r="C329" s="1" t="s">
        <v>10</v>
      </c>
      <c r="D329" s="1">
        <v>6586</v>
      </c>
      <c r="E329" s="1">
        <v>147</v>
      </c>
      <c r="F329">
        <v>22.78</v>
      </c>
      <c r="G329">
        <v>2.86</v>
      </c>
      <c r="H329">
        <v>89.4</v>
      </c>
      <c r="I329">
        <v>0.86670000000000003</v>
      </c>
    </row>
    <row r="330" spans="1:9" x14ac:dyDescent="0.3">
      <c r="A330" s="2"/>
      <c r="B330" s="2"/>
      <c r="C330" s="1" t="s">
        <v>11</v>
      </c>
      <c r="D330" s="1">
        <v>7341</v>
      </c>
      <c r="E330" s="1">
        <v>174</v>
      </c>
      <c r="F330">
        <v>23.18</v>
      </c>
      <c r="G330">
        <v>2.86</v>
      </c>
      <c r="H330">
        <v>87.77</v>
      </c>
      <c r="I330">
        <v>0.32400000000000001</v>
      </c>
    </row>
    <row r="331" spans="1:9" x14ac:dyDescent="0.3">
      <c r="A331" s="2"/>
      <c r="B331" s="2"/>
      <c r="C331" s="1" t="s">
        <v>12</v>
      </c>
      <c r="D331" s="1">
        <v>3283</v>
      </c>
      <c r="E331" s="1">
        <v>81</v>
      </c>
      <c r="F331">
        <v>22.93</v>
      </c>
      <c r="G331">
        <v>2.86</v>
      </c>
      <c r="H331">
        <v>84.13</v>
      </c>
      <c r="I331">
        <v>0.69940000000000002</v>
      </c>
    </row>
    <row r="332" spans="1:9" x14ac:dyDescent="0.3">
      <c r="A332" s="2"/>
      <c r="B332" s="2"/>
      <c r="C332" s="1" t="s">
        <v>13</v>
      </c>
      <c r="D332" s="1">
        <v>3737</v>
      </c>
      <c r="E332" s="1">
        <v>91</v>
      </c>
      <c r="F332">
        <v>22.75</v>
      </c>
      <c r="G332">
        <v>2.86</v>
      </c>
      <c r="H332">
        <v>83.61</v>
      </c>
      <c r="I332">
        <v>0.45619999999999999</v>
      </c>
    </row>
    <row r="333" spans="1:9" x14ac:dyDescent="0.3">
      <c r="A333" s="2"/>
      <c r="B333" s="2"/>
      <c r="C333" s="1" t="s">
        <v>14</v>
      </c>
      <c r="D333" s="1">
        <v>4164</v>
      </c>
      <c r="E333" s="1">
        <v>121</v>
      </c>
      <c r="F333">
        <v>22.64</v>
      </c>
      <c r="G333">
        <v>2.86</v>
      </c>
      <c r="H333">
        <v>82.19</v>
      </c>
      <c r="I333">
        <v>0.74299999999999999</v>
      </c>
    </row>
    <row r="334" spans="1:9" x14ac:dyDescent="0.3">
      <c r="A334" s="2"/>
      <c r="B334" s="2"/>
      <c r="C334" s="1" t="s">
        <v>15</v>
      </c>
      <c r="D334" s="1">
        <v>9968</v>
      </c>
      <c r="E334" s="1">
        <v>216</v>
      </c>
      <c r="F334">
        <v>22.71</v>
      </c>
      <c r="G334">
        <v>2.86</v>
      </c>
      <c r="H334">
        <v>82.97</v>
      </c>
      <c r="I334">
        <v>0.67220000000000002</v>
      </c>
    </row>
    <row r="335" spans="1:9" x14ac:dyDescent="0.3">
      <c r="A335" s="2"/>
      <c r="B335" s="2"/>
      <c r="C335" s="1" t="s">
        <v>16</v>
      </c>
      <c r="D335" s="1">
        <v>5150</v>
      </c>
      <c r="E335" s="1">
        <v>103</v>
      </c>
      <c r="F335">
        <v>22.38</v>
      </c>
      <c r="G335">
        <v>2.86</v>
      </c>
      <c r="H335">
        <v>85.74</v>
      </c>
      <c r="I335">
        <v>0.81369999999999998</v>
      </c>
    </row>
    <row r="336" spans="1:9" x14ac:dyDescent="0.3">
      <c r="A336" s="2"/>
      <c r="B336" s="2"/>
      <c r="C336" s="1" t="s">
        <v>17</v>
      </c>
      <c r="D336" s="1">
        <v>4405</v>
      </c>
      <c r="E336" s="1">
        <v>82</v>
      </c>
      <c r="F336">
        <v>21.58</v>
      </c>
      <c r="G336">
        <v>2.86</v>
      </c>
      <c r="H336">
        <v>91.1</v>
      </c>
      <c r="I336">
        <v>0.86539999999999995</v>
      </c>
    </row>
    <row r="337" spans="1:9" x14ac:dyDescent="0.3">
      <c r="A337" s="2"/>
      <c r="B337" s="2"/>
      <c r="C337" s="1" t="s">
        <v>18</v>
      </c>
      <c r="D337" s="1">
        <v>2900</v>
      </c>
      <c r="E337" s="1">
        <v>52</v>
      </c>
      <c r="F337">
        <v>21.25</v>
      </c>
      <c r="G337">
        <v>2.86</v>
      </c>
      <c r="H337">
        <v>90.35</v>
      </c>
      <c r="I337">
        <v>0.84340000000000004</v>
      </c>
    </row>
    <row r="338" spans="1:9" x14ac:dyDescent="0.3">
      <c r="A338" s="2"/>
      <c r="B338" s="2" t="s">
        <v>24</v>
      </c>
      <c r="C338" s="1" t="s">
        <v>7</v>
      </c>
      <c r="D338" s="1">
        <v>3683</v>
      </c>
      <c r="E338" s="1">
        <v>178</v>
      </c>
      <c r="F338">
        <v>20.81</v>
      </c>
      <c r="G338">
        <v>2.86</v>
      </c>
      <c r="H338">
        <v>93.06</v>
      </c>
      <c r="I338">
        <v>0.52339999999999998</v>
      </c>
    </row>
    <row r="339" spans="1:9" x14ac:dyDescent="0.3">
      <c r="A339" s="2"/>
      <c r="B339" s="2"/>
      <c r="C339" s="1" t="s">
        <v>8</v>
      </c>
      <c r="D339" s="1">
        <v>5083</v>
      </c>
      <c r="E339" s="1">
        <v>241</v>
      </c>
      <c r="F339">
        <v>21.51</v>
      </c>
      <c r="G339">
        <v>2.86</v>
      </c>
      <c r="H339">
        <v>84.21</v>
      </c>
      <c r="I339">
        <v>0.84340000000000004</v>
      </c>
    </row>
    <row r="340" spans="1:9" x14ac:dyDescent="0.3">
      <c r="A340" s="2"/>
      <c r="B340" s="2"/>
      <c r="C340" s="1" t="s">
        <v>9</v>
      </c>
      <c r="D340" s="1">
        <v>8757</v>
      </c>
      <c r="E340" s="1">
        <v>351</v>
      </c>
      <c r="F340">
        <v>22.55</v>
      </c>
      <c r="G340">
        <v>2.86</v>
      </c>
      <c r="H340">
        <v>83.55</v>
      </c>
      <c r="I340">
        <v>0.82220000000000004</v>
      </c>
    </row>
    <row r="341" spans="1:9" x14ac:dyDescent="0.3">
      <c r="A341" s="2"/>
      <c r="B341" s="2"/>
      <c r="C341" s="1" t="s">
        <v>10</v>
      </c>
      <c r="D341" s="1">
        <v>11013</v>
      </c>
      <c r="E341" s="1">
        <v>341</v>
      </c>
      <c r="F341">
        <v>22.78</v>
      </c>
      <c r="G341">
        <v>2.86</v>
      </c>
      <c r="H341">
        <v>89.4</v>
      </c>
      <c r="I341">
        <v>0.86670000000000003</v>
      </c>
    </row>
    <row r="342" spans="1:9" x14ac:dyDescent="0.3">
      <c r="A342" s="2"/>
      <c r="B342" s="2"/>
      <c r="C342" s="1" t="s">
        <v>11</v>
      </c>
      <c r="D342" s="1">
        <v>11262</v>
      </c>
      <c r="E342" s="1">
        <v>364.5</v>
      </c>
      <c r="F342">
        <v>23.18</v>
      </c>
      <c r="G342">
        <v>2.86</v>
      </c>
      <c r="H342">
        <v>87.77</v>
      </c>
      <c r="I342">
        <v>0.32400000000000001</v>
      </c>
    </row>
    <row r="343" spans="1:9" x14ac:dyDescent="0.3">
      <c r="A343" s="2"/>
      <c r="B343" s="2"/>
      <c r="C343" s="1" t="s">
        <v>12</v>
      </c>
      <c r="D343" s="1">
        <v>3101</v>
      </c>
      <c r="E343" s="1">
        <v>136</v>
      </c>
      <c r="F343">
        <v>22.93</v>
      </c>
      <c r="G343">
        <v>2.86</v>
      </c>
      <c r="H343">
        <v>84.13</v>
      </c>
      <c r="I343">
        <v>0.69940000000000002</v>
      </c>
    </row>
    <row r="344" spans="1:9" x14ac:dyDescent="0.3">
      <c r="A344" s="2"/>
      <c r="B344" s="2"/>
      <c r="C344" s="1" t="s">
        <v>13</v>
      </c>
      <c r="D344" s="1">
        <v>6217</v>
      </c>
      <c r="E344" s="1">
        <v>271</v>
      </c>
      <c r="F344">
        <v>22.75</v>
      </c>
      <c r="G344">
        <v>2.86</v>
      </c>
      <c r="H344">
        <v>83.61</v>
      </c>
      <c r="I344">
        <v>0.45619999999999999</v>
      </c>
    </row>
    <row r="345" spans="1:9" x14ac:dyDescent="0.3">
      <c r="A345" s="2"/>
      <c r="B345" s="2"/>
      <c r="C345" s="1" t="s">
        <v>14</v>
      </c>
      <c r="D345" s="1">
        <v>3878</v>
      </c>
      <c r="E345" s="1">
        <v>170</v>
      </c>
      <c r="F345">
        <v>22.64</v>
      </c>
      <c r="G345">
        <v>2.86</v>
      </c>
      <c r="H345">
        <v>82.19</v>
      </c>
      <c r="I345">
        <v>0.74299999999999999</v>
      </c>
    </row>
    <row r="346" spans="1:9" x14ac:dyDescent="0.3">
      <c r="A346" s="2"/>
      <c r="B346" s="2"/>
      <c r="C346" s="1" t="s">
        <v>15</v>
      </c>
      <c r="D346" s="1">
        <v>11261</v>
      </c>
      <c r="E346" s="1">
        <v>355</v>
      </c>
      <c r="F346">
        <v>22.71</v>
      </c>
      <c r="G346">
        <v>2.86</v>
      </c>
      <c r="H346">
        <v>82.97</v>
      </c>
      <c r="I346">
        <v>0.67220000000000002</v>
      </c>
    </row>
    <row r="347" spans="1:9" x14ac:dyDescent="0.3">
      <c r="A347" s="2"/>
      <c r="B347" s="2"/>
      <c r="C347" s="1" t="s">
        <v>16</v>
      </c>
      <c r="D347" s="1">
        <v>6924</v>
      </c>
      <c r="E347" s="1">
        <v>243.5</v>
      </c>
      <c r="F347">
        <v>22.38</v>
      </c>
      <c r="G347">
        <v>2.86</v>
      </c>
      <c r="H347">
        <v>85.74</v>
      </c>
      <c r="I347">
        <v>0.81369999999999998</v>
      </c>
    </row>
    <row r="348" spans="1:9" x14ac:dyDescent="0.3">
      <c r="A348" s="2"/>
      <c r="B348" s="2"/>
      <c r="C348" s="1" t="s">
        <v>17</v>
      </c>
      <c r="D348" s="1">
        <v>6005</v>
      </c>
      <c r="E348" s="1">
        <v>215</v>
      </c>
      <c r="F348">
        <v>21.58</v>
      </c>
      <c r="G348">
        <v>2.86</v>
      </c>
      <c r="H348">
        <v>91.1</v>
      </c>
      <c r="I348">
        <v>0.86539999999999995</v>
      </c>
    </row>
    <row r="349" spans="1:9" x14ac:dyDescent="0.3">
      <c r="A349" s="2"/>
      <c r="B349" s="2"/>
      <c r="C349" s="1" t="s">
        <v>18</v>
      </c>
      <c r="D349" s="1">
        <v>10379</v>
      </c>
      <c r="E349" s="1">
        <v>282</v>
      </c>
      <c r="F349">
        <v>21.25</v>
      </c>
      <c r="G349">
        <v>2.86</v>
      </c>
      <c r="H349">
        <v>90.35</v>
      </c>
      <c r="I349">
        <v>0.84340000000000004</v>
      </c>
    </row>
    <row r="350" spans="1:9" x14ac:dyDescent="0.3">
      <c r="A350" s="2"/>
      <c r="B350" s="2" t="s">
        <v>25</v>
      </c>
      <c r="C350" s="1" t="s">
        <v>7</v>
      </c>
      <c r="D350" s="1">
        <v>1116</v>
      </c>
      <c r="E350" s="1">
        <v>68</v>
      </c>
      <c r="F350">
        <v>20.81</v>
      </c>
      <c r="G350">
        <v>2.86</v>
      </c>
      <c r="H350">
        <v>93.06</v>
      </c>
      <c r="I350">
        <v>0.52339999999999998</v>
      </c>
    </row>
    <row r="351" spans="1:9" x14ac:dyDescent="0.3">
      <c r="A351" s="2"/>
      <c r="B351" s="2"/>
      <c r="C351" s="1" t="s">
        <v>8</v>
      </c>
      <c r="D351" s="1">
        <v>1014</v>
      </c>
      <c r="E351" s="1">
        <v>59.5</v>
      </c>
      <c r="F351">
        <v>21.51</v>
      </c>
      <c r="G351">
        <v>2.86</v>
      </c>
      <c r="H351">
        <v>84.21</v>
      </c>
      <c r="I351">
        <v>0.84340000000000004</v>
      </c>
    </row>
    <row r="352" spans="1:9" x14ac:dyDescent="0.3">
      <c r="A352" s="2"/>
      <c r="B352" s="2"/>
      <c r="C352" s="1" t="s">
        <v>9</v>
      </c>
      <c r="D352" s="1">
        <v>1317</v>
      </c>
      <c r="E352" s="1">
        <v>78</v>
      </c>
      <c r="F352">
        <v>22.55</v>
      </c>
      <c r="G352">
        <v>2.86</v>
      </c>
      <c r="H352">
        <v>83.55</v>
      </c>
      <c r="I352">
        <v>0.82220000000000004</v>
      </c>
    </row>
    <row r="353" spans="1:9" x14ac:dyDescent="0.3">
      <c r="A353" s="2"/>
      <c r="B353" s="2"/>
      <c r="C353" s="1" t="s">
        <v>10</v>
      </c>
      <c r="D353" s="1">
        <v>3163</v>
      </c>
      <c r="E353" s="1">
        <v>145</v>
      </c>
      <c r="F353">
        <v>22.78</v>
      </c>
      <c r="G353">
        <v>2.86</v>
      </c>
      <c r="H353">
        <v>89.4</v>
      </c>
      <c r="I353">
        <v>0.86670000000000003</v>
      </c>
    </row>
    <row r="354" spans="1:9" x14ac:dyDescent="0.3">
      <c r="A354" s="2"/>
      <c r="B354" s="2"/>
      <c r="C354" s="1" t="s">
        <v>11</v>
      </c>
      <c r="D354" s="1">
        <v>1746</v>
      </c>
      <c r="E354" s="1">
        <v>95.5</v>
      </c>
      <c r="F354">
        <v>23.18</v>
      </c>
      <c r="G354">
        <v>2.86</v>
      </c>
      <c r="H354">
        <v>87.77</v>
      </c>
      <c r="I354">
        <v>0.32400000000000001</v>
      </c>
    </row>
    <row r="355" spans="1:9" x14ac:dyDescent="0.3">
      <c r="A355" s="2"/>
      <c r="B355" s="2"/>
      <c r="C355" s="1" t="s">
        <v>12</v>
      </c>
      <c r="D355" s="1">
        <v>1044</v>
      </c>
      <c r="E355" s="1">
        <v>59</v>
      </c>
      <c r="F355">
        <v>22.93</v>
      </c>
      <c r="G355">
        <v>2.86</v>
      </c>
      <c r="H355">
        <v>84.13</v>
      </c>
      <c r="I355">
        <v>0.69940000000000002</v>
      </c>
    </row>
    <row r="356" spans="1:9" x14ac:dyDescent="0.3">
      <c r="A356" s="2"/>
      <c r="B356" s="2"/>
      <c r="C356" s="1" t="s">
        <v>13</v>
      </c>
      <c r="D356" s="1">
        <v>892</v>
      </c>
      <c r="E356" s="1">
        <v>51.5</v>
      </c>
      <c r="F356">
        <v>22.75</v>
      </c>
      <c r="G356">
        <v>2.86</v>
      </c>
      <c r="H356">
        <v>83.61</v>
      </c>
      <c r="I356">
        <v>0.45619999999999999</v>
      </c>
    </row>
    <row r="357" spans="1:9" x14ac:dyDescent="0.3">
      <c r="A357" s="2"/>
      <c r="B357" s="2"/>
      <c r="C357" s="1" t="s">
        <v>14</v>
      </c>
      <c r="D357" s="1">
        <v>910</v>
      </c>
      <c r="E357" s="1">
        <v>51</v>
      </c>
      <c r="F357">
        <v>22.64</v>
      </c>
      <c r="G357">
        <v>2.86</v>
      </c>
      <c r="H357">
        <v>82.19</v>
      </c>
      <c r="I357">
        <v>0.74299999999999999</v>
      </c>
    </row>
    <row r="358" spans="1:9" x14ac:dyDescent="0.3">
      <c r="A358" s="2"/>
      <c r="B358" s="2"/>
      <c r="C358" s="1" t="s">
        <v>15</v>
      </c>
      <c r="D358" s="1">
        <v>2377</v>
      </c>
      <c r="E358" s="1">
        <v>120</v>
      </c>
      <c r="F358">
        <v>22.71</v>
      </c>
      <c r="G358">
        <v>2.86</v>
      </c>
      <c r="H358">
        <v>82.97</v>
      </c>
      <c r="I358">
        <v>0.67220000000000002</v>
      </c>
    </row>
    <row r="359" spans="1:9" x14ac:dyDescent="0.3">
      <c r="A359" s="2"/>
      <c r="B359" s="2"/>
      <c r="C359" s="1" t="s">
        <v>16</v>
      </c>
      <c r="D359" s="1">
        <v>1784</v>
      </c>
      <c r="E359" s="1">
        <v>97</v>
      </c>
      <c r="F359">
        <v>22.38</v>
      </c>
      <c r="G359">
        <v>2.86</v>
      </c>
      <c r="H359">
        <v>85.74</v>
      </c>
      <c r="I359">
        <v>0.81369999999999998</v>
      </c>
    </row>
    <row r="360" spans="1:9" x14ac:dyDescent="0.3">
      <c r="A360" s="2"/>
      <c r="B360" s="2"/>
      <c r="C360" s="1" t="s">
        <v>17</v>
      </c>
      <c r="D360" s="1">
        <v>1628</v>
      </c>
      <c r="E360" s="1">
        <v>86</v>
      </c>
      <c r="F360">
        <v>21.58</v>
      </c>
      <c r="G360">
        <v>2.86</v>
      </c>
      <c r="H360">
        <v>91.1</v>
      </c>
      <c r="I360">
        <v>0.86539999999999995</v>
      </c>
    </row>
    <row r="361" spans="1:9" x14ac:dyDescent="0.3">
      <c r="A361" s="2"/>
      <c r="B361" s="2"/>
      <c r="C361" s="1" t="s">
        <v>18</v>
      </c>
      <c r="D361" s="1">
        <v>1594</v>
      </c>
      <c r="E361" s="1">
        <v>79</v>
      </c>
      <c r="F361">
        <v>21.25</v>
      </c>
      <c r="G361">
        <v>2.86</v>
      </c>
      <c r="H361">
        <v>90.35</v>
      </c>
      <c r="I361">
        <v>0.84340000000000004</v>
      </c>
    </row>
  </sheetData>
  <mergeCells count="35">
    <mergeCell ref="A290:A361"/>
    <mergeCell ref="B290:B301"/>
    <mergeCell ref="B302:B313"/>
    <mergeCell ref="B314:B325"/>
    <mergeCell ref="B326:B337"/>
    <mergeCell ref="B338:B349"/>
    <mergeCell ref="B350:B361"/>
    <mergeCell ref="A218:A289"/>
    <mergeCell ref="B218:B229"/>
    <mergeCell ref="B230:B241"/>
    <mergeCell ref="B242:B253"/>
    <mergeCell ref="B254:B265"/>
    <mergeCell ref="B266:B277"/>
    <mergeCell ref="B278:B289"/>
    <mergeCell ref="A146:A217"/>
    <mergeCell ref="B146:B157"/>
    <mergeCell ref="B158:B169"/>
    <mergeCell ref="B170:B181"/>
    <mergeCell ref="B182:B193"/>
    <mergeCell ref="B194:B205"/>
    <mergeCell ref="B206:B217"/>
    <mergeCell ref="A2:A73"/>
    <mergeCell ref="A74:A145"/>
    <mergeCell ref="B74:B85"/>
    <mergeCell ref="B86:B97"/>
    <mergeCell ref="B98:B109"/>
    <mergeCell ref="B110:B121"/>
    <mergeCell ref="B122:B133"/>
    <mergeCell ref="B134:B145"/>
    <mergeCell ref="B2:B13"/>
    <mergeCell ref="B14:B25"/>
    <mergeCell ref="B26:B37"/>
    <mergeCell ref="B38:B49"/>
    <mergeCell ref="B50:B61"/>
    <mergeCell ref="B62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CheNul</dc:creator>
  <cp:lastModifiedBy>CheNul</cp:lastModifiedBy>
  <dcterms:created xsi:type="dcterms:W3CDTF">2026-01-23T17:50:33Z</dcterms:created>
  <dcterms:modified xsi:type="dcterms:W3CDTF">2026-02-01T10:01:48Z</dcterms:modified>
</cp:coreProperties>
</file>